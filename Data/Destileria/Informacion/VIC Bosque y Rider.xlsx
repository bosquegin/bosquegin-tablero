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brea\Downloads\"/>
    </mc:Choice>
  </mc:AlternateContent>
  <xr:revisionPtr revIDLastSave="0" documentId="8_{C0236C62-4223-40B7-99C7-1A07AB4EDA24}" xr6:coauthVersionLast="45" xr6:coauthVersionMax="45" xr10:uidLastSave="{00000000-0000-0000-0000-000000000000}"/>
  <bookViews>
    <workbookView xWindow="-120" yWindow="-120" windowWidth="20730" windowHeight="11160" xr2:uid="{E0755FE2-2C4A-47D1-8216-F8CB7295FAFB}"/>
  </bookViews>
  <sheets>
    <sheet name="Rider" sheetId="2" r:id="rId1"/>
    <sheet name="Bosque Nativo" sheetId="1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77" i="2" l="1"/>
  <c r="N69" i="2"/>
  <c r="C62" i="2"/>
  <c r="D62" i="2" s="1"/>
  <c r="E62" i="2" s="1"/>
  <c r="F62" i="2" s="1"/>
  <c r="G62" i="2" s="1"/>
  <c r="H62" i="2" s="1"/>
  <c r="I62" i="2" s="1"/>
  <c r="J62" i="2" s="1"/>
  <c r="K62" i="2" s="1"/>
  <c r="L62" i="2" s="1"/>
  <c r="M62" i="2" s="1"/>
  <c r="D61" i="2"/>
  <c r="E61" i="2" s="1"/>
  <c r="F61" i="2" s="1"/>
  <c r="G61" i="2" s="1"/>
  <c r="H61" i="2" s="1"/>
  <c r="I61" i="2" s="1"/>
  <c r="J61" i="2" s="1"/>
  <c r="K61" i="2" s="1"/>
  <c r="L61" i="2" s="1"/>
  <c r="M61" i="2" s="1"/>
  <c r="C61" i="2"/>
  <c r="B60" i="2"/>
  <c r="B63" i="2" s="1"/>
  <c r="C55" i="2"/>
  <c r="D55" i="2" s="1"/>
  <c r="E55" i="2" s="1"/>
  <c r="F55" i="2" s="1"/>
  <c r="G55" i="2" s="1"/>
  <c r="H55" i="2" s="1"/>
  <c r="I55" i="2" s="1"/>
  <c r="J55" i="2" s="1"/>
  <c r="K55" i="2" s="1"/>
  <c r="L55" i="2" s="1"/>
  <c r="M55" i="2" s="1"/>
  <c r="C53" i="2"/>
  <c r="D53" i="2" s="1"/>
  <c r="E53" i="2" s="1"/>
  <c r="F53" i="2" s="1"/>
  <c r="G53" i="2" s="1"/>
  <c r="H53" i="2" s="1"/>
  <c r="I53" i="2" s="1"/>
  <c r="J53" i="2" s="1"/>
  <c r="K53" i="2" s="1"/>
  <c r="L53" i="2" s="1"/>
  <c r="M53" i="2" s="1"/>
  <c r="I48" i="2"/>
  <c r="J48" i="2" s="1"/>
  <c r="K48" i="2" s="1"/>
  <c r="L48" i="2" s="1"/>
  <c r="M48" i="2" s="1"/>
  <c r="C48" i="2"/>
  <c r="D48" i="2" s="1"/>
  <c r="E48" i="2" s="1"/>
  <c r="F48" i="2" s="1"/>
  <c r="G48" i="2" s="1"/>
  <c r="H48" i="2" s="1"/>
  <c r="N45" i="2"/>
  <c r="G42" i="2"/>
  <c r="H42" i="2" s="1"/>
  <c r="I42" i="2" s="1"/>
  <c r="J42" i="2" s="1"/>
  <c r="K42" i="2" s="1"/>
  <c r="L42" i="2" s="1"/>
  <c r="M42" i="2" s="1"/>
  <c r="B41" i="2"/>
  <c r="B44" i="2" s="1"/>
  <c r="E39" i="2"/>
  <c r="P38" i="2"/>
  <c r="G38" i="2"/>
  <c r="C80" i="2" s="1"/>
  <c r="F37" i="2"/>
  <c r="F39" i="2" s="1"/>
  <c r="E37" i="2"/>
  <c r="D37" i="2"/>
  <c r="D39" i="2" s="1"/>
  <c r="C37" i="2"/>
  <c r="C39" i="2" s="1"/>
  <c r="B37" i="2"/>
  <c r="B39" i="2" s="1"/>
  <c r="B40" i="2" s="1"/>
  <c r="H36" i="2"/>
  <c r="I36" i="2" s="1"/>
  <c r="J36" i="2" s="1"/>
  <c r="K36" i="2" s="1"/>
  <c r="L36" i="2" s="1"/>
  <c r="M36" i="2" s="1"/>
  <c r="G36" i="2"/>
  <c r="C78" i="2" s="1"/>
  <c r="O35" i="2"/>
  <c r="G35" i="2"/>
  <c r="H34" i="2"/>
  <c r="I34" i="2" s="1"/>
  <c r="J34" i="2" s="1"/>
  <c r="K34" i="2" s="1"/>
  <c r="L34" i="2" s="1"/>
  <c r="M34" i="2" s="1"/>
  <c r="G34" i="2"/>
  <c r="C77" i="2" s="1"/>
  <c r="G33" i="2"/>
  <c r="C32" i="2"/>
  <c r="D32" i="2" s="1"/>
  <c r="E32" i="2" s="1"/>
  <c r="F32" i="2" s="1"/>
  <c r="G32" i="2" s="1"/>
  <c r="H32" i="2" s="1"/>
  <c r="I32" i="2" s="1"/>
  <c r="J32" i="2" s="1"/>
  <c r="K32" i="2" s="1"/>
  <c r="L32" i="2" s="1"/>
  <c r="M32" i="2" s="1"/>
  <c r="N28" i="2"/>
  <c r="O48" i="2" s="1"/>
  <c r="G25" i="2"/>
  <c r="H25" i="2" s="1"/>
  <c r="I25" i="2" s="1"/>
  <c r="J25" i="2" s="1"/>
  <c r="K25" i="2" s="1"/>
  <c r="L25" i="2" s="1"/>
  <c r="M25" i="2" s="1"/>
  <c r="F24" i="2"/>
  <c r="F27" i="2" s="1"/>
  <c r="F22" i="2"/>
  <c r="F23" i="2" s="1"/>
  <c r="G21" i="2"/>
  <c r="B80" i="2" s="1"/>
  <c r="F20" i="2"/>
  <c r="E20" i="2"/>
  <c r="E22" i="2" s="1"/>
  <c r="D20" i="2"/>
  <c r="D22" i="2" s="1"/>
  <c r="C20" i="2"/>
  <c r="C22" i="2" s="1"/>
  <c r="B20" i="2"/>
  <c r="B22" i="2" s="1"/>
  <c r="G19" i="2"/>
  <c r="B78" i="2" s="1"/>
  <c r="G18" i="2"/>
  <c r="H18" i="2" s="1"/>
  <c r="I18" i="2" s="1"/>
  <c r="J18" i="2" s="1"/>
  <c r="K18" i="2" s="1"/>
  <c r="L18" i="2" s="1"/>
  <c r="M18" i="2" s="1"/>
  <c r="G17" i="2"/>
  <c r="G16" i="2"/>
  <c r="H16" i="2" s="1"/>
  <c r="I16" i="2" s="1"/>
  <c r="J16" i="2" s="1"/>
  <c r="K16" i="2" s="1"/>
  <c r="L16" i="2" s="1"/>
  <c r="M16" i="2" s="1"/>
  <c r="I15" i="2"/>
  <c r="J15" i="2" s="1"/>
  <c r="K15" i="2" s="1"/>
  <c r="L15" i="2" s="1"/>
  <c r="M15" i="2" s="1"/>
  <c r="G15" i="2"/>
  <c r="H15" i="2" s="1"/>
  <c r="H14" i="2"/>
  <c r="I14" i="2" s="1"/>
  <c r="J14" i="2" s="1"/>
  <c r="K14" i="2" s="1"/>
  <c r="L14" i="2" s="1"/>
  <c r="M14" i="2" s="1"/>
  <c r="G14" i="2"/>
  <c r="B76" i="2" s="1"/>
  <c r="B79" i="2" s="1"/>
  <c r="G11" i="2"/>
  <c r="H11" i="2" s="1"/>
  <c r="I11" i="2" s="1"/>
  <c r="J11" i="2" s="1"/>
  <c r="K11" i="2" s="1"/>
  <c r="L11" i="2" s="1"/>
  <c r="M11" i="2" s="1"/>
  <c r="C7" i="2"/>
  <c r="D7" i="2" s="1"/>
  <c r="E7" i="2" s="1"/>
  <c r="F7" i="2" s="1"/>
  <c r="G7" i="2" s="1"/>
  <c r="H7" i="2" s="1"/>
  <c r="I7" i="2" s="1"/>
  <c r="J7" i="2" s="1"/>
  <c r="K7" i="2" s="1"/>
  <c r="L7" i="2" s="1"/>
  <c r="M7" i="2" s="1"/>
  <c r="D3" i="2"/>
  <c r="E3" i="2" s="1"/>
  <c r="C56" i="2" s="1"/>
  <c r="D56" i="2" s="1"/>
  <c r="E56" i="2" s="1"/>
  <c r="F56" i="2" s="1"/>
  <c r="G56" i="2" s="1"/>
  <c r="H56" i="2" s="1"/>
  <c r="I56" i="2" s="1"/>
  <c r="J56" i="2" s="1"/>
  <c r="K56" i="2" s="1"/>
  <c r="L56" i="2" s="1"/>
  <c r="M56" i="2" s="1"/>
  <c r="B3" i="2"/>
  <c r="B1" i="2"/>
  <c r="C52" i="2" s="1"/>
  <c r="D52" i="2" s="1"/>
  <c r="E52" i="2" s="1"/>
  <c r="F52" i="2" s="1"/>
  <c r="G52" i="2" s="1"/>
  <c r="H52" i="2" s="1"/>
  <c r="I52" i="2" s="1"/>
  <c r="J52" i="2" s="1"/>
  <c r="K52" i="2" s="1"/>
  <c r="L52" i="2" s="1"/>
  <c r="M52" i="2" s="1"/>
  <c r="C75" i="1"/>
  <c r="B75" i="1"/>
  <c r="C73" i="1"/>
  <c r="C72" i="1"/>
  <c r="C74" i="1" s="1"/>
  <c r="C76" i="1" s="1"/>
  <c r="C77" i="1" s="1"/>
  <c r="C78" i="1" s="1"/>
  <c r="B72" i="1"/>
  <c r="C71" i="1"/>
  <c r="N65" i="1"/>
  <c r="H61" i="1"/>
  <c r="I61" i="1" s="1"/>
  <c r="J61" i="1" s="1"/>
  <c r="K61" i="1" s="1"/>
  <c r="L61" i="1" s="1"/>
  <c r="M61" i="1" s="1"/>
  <c r="C59" i="1"/>
  <c r="B59" i="1"/>
  <c r="M58" i="1"/>
  <c r="M59" i="1" s="1"/>
  <c r="G58" i="1"/>
  <c r="F58" i="1"/>
  <c r="E58" i="1"/>
  <c r="E59" i="1" s="1"/>
  <c r="D58" i="1"/>
  <c r="D59" i="1" s="1"/>
  <c r="C58" i="1"/>
  <c r="C60" i="1" s="1"/>
  <c r="C64" i="1" s="1"/>
  <c r="B58" i="1"/>
  <c r="B60" i="1" s="1"/>
  <c r="B64" i="1" s="1"/>
  <c r="M56" i="1"/>
  <c r="L56" i="1"/>
  <c r="L58" i="1" s="1"/>
  <c r="K56" i="1"/>
  <c r="K58" i="1" s="1"/>
  <c r="J56" i="1"/>
  <c r="J58" i="1" s="1"/>
  <c r="I56" i="1"/>
  <c r="I58" i="1" s="1"/>
  <c r="H56" i="1"/>
  <c r="H58" i="1" s="1"/>
  <c r="C46" i="1"/>
  <c r="D46" i="1" s="1"/>
  <c r="E46" i="1" s="1"/>
  <c r="F46" i="1" s="1"/>
  <c r="G46" i="1" s="1"/>
  <c r="H46" i="1" s="1"/>
  <c r="I46" i="1" s="1"/>
  <c r="J46" i="1" s="1"/>
  <c r="K46" i="1" s="1"/>
  <c r="L46" i="1" s="1"/>
  <c r="M46" i="1" s="1"/>
  <c r="N42" i="1"/>
  <c r="K35" i="1"/>
  <c r="J35" i="1"/>
  <c r="I35" i="1"/>
  <c r="H35" i="1"/>
  <c r="H36" i="1" s="1"/>
  <c r="C35" i="1"/>
  <c r="B35" i="1"/>
  <c r="M32" i="1"/>
  <c r="M35" i="1" s="1"/>
  <c r="L32" i="1"/>
  <c r="L35" i="1" s="1"/>
  <c r="K32" i="1"/>
  <c r="J32" i="1"/>
  <c r="I32" i="1"/>
  <c r="H32" i="1"/>
  <c r="F32" i="1"/>
  <c r="F35" i="1" s="1"/>
  <c r="E32" i="1"/>
  <c r="E35" i="1" s="1"/>
  <c r="D32" i="1"/>
  <c r="D35" i="1" s="1"/>
  <c r="C32" i="1"/>
  <c r="B32" i="1"/>
  <c r="G22" i="1"/>
  <c r="G32" i="1" s="1"/>
  <c r="G35" i="1" s="1"/>
  <c r="N11" i="1"/>
  <c r="N10" i="1"/>
  <c r="C9" i="1"/>
  <c r="D9" i="1" s="1"/>
  <c r="E9" i="1" s="1"/>
  <c r="F9" i="1" s="1"/>
  <c r="G9" i="1" s="1"/>
  <c r="H9" i="1" s="1"/>
  <c r="I9" i="1" s="1"/>
  <c r="J9" i="1" s="1"/>
  <c r="K9" i="1" s="1"/>
  <c r="L9" i="1" s="1"/>
  <c r="M9" i="1" s="1"/>
  <c r="B5" i="1"/>
  <c r="D5" i="1" s="1"/>
  <c r="E5" i="1" s="1"/>
  <c r="B3" i="1"/>
  <c r="D40" i="2" l="1"/>
  <c r="D41" i="2" s="1"/>
  <c r="D44" i="2" s="1"/>
  <c r="B81" i="2"/>
  <c r="B82" i="2" s="1"/>
  <c r="B83" i="2" s="1"/>
  <c r="B84" i="2" s="1"/>
  <c r="E23" i="2"/>
  <c r="E24" i="2" s="1"/>
  <c r="E27" i="2" s="1"/>
  <c r="F40" i="2"/>
  <c r="F41" i="2"/>
  <c r="F44" i="2" s="1"/>
  <c r="B64" i="2"/>
  <c r="B65" i="2" s="1"/>
  <c r="B68" i="2" s="1"/>
  <c r="B24" i="2"/>
  <c r="B27" i="2" s="1"/>
  <c r="G13" i="2"/>
  <c r="H13" i="2" s="1"/>
  <c r="I13" i="2" s="1"/>
  <c r="J13" i="2" s="1"/>
  <c r="K13" i="2" s="1"/>
  <c r="L13" i="2" s="1"/>
  <c r="M13" i="2" s="1"/>
  <c r="C23" i="2"/>
  <c r="C24" i="2" s="1"/>
  <c r="C27" i="2" s="1"/>
  <c r="B23" i="2"/>
  <c r="D24" i="2"/>
  <c r="D27" i="2" s="1"/>
  <c r="D23" i="2"/>
  <c r="C76" i="2"/>
  <c r="C79" i="2" s="1"/>
  <c r="C81" i="2" s="1"/>
  <c r="C82" i="2" s="1"/>
  <c r="C83" i="2" s="1"/>
  <c r="C84" i="2" s="1"/>
  <c r="G37" i="2"/>
  <c r="G39" i="2" s="1"/>
  <c r="H33" i="2"/>
  <c r="C40" i="2"/>
  <c r="C41" i="2" s="1"/>
  <c r="C44" i="2" s="1"/>
  <c r="E40" i="2"/>
  <c r="E41" i="2"/>
  <c r="G12" i="2"/>
  <c r="H12" i="2" s="1"/>
  <c r="I12" i="2" s="1"/>
  <c r="J12" i="2" s="1"/>
  <c r="K12" i="2" s="1"/>
  <c r="L12" i="2" s="1"/>
  <c r="M12" i="2" s="1"/>
  <c r="P39" i="2"/>
  <c r="C50" i="2"/>
  <c r="D50" i="2" s="1"/>
  <c r="E50" i="2" s="1"/>
  <c r="F50" i="2" s="1"/>
  <c r="G50" i="2" s="1"/>
  <c r="H50" i="2" s="1"/>
  <c r="I50" i="2" s="1"/>
  <c r="J50" i="2" s="1"/>
  <c r="K50" i="2" s="1"/>
  <c r="L50" i="2" s="1"/>
  <c r="M50" i="2" s="1"/>
  <c r="C58" i="2"/>
  <c r="D58" i="2" s="1"/>
  <c r="E58" i="2" s="1"/>
  <c r="F58" i="2" s="1"/>
  <c r="G58" i="2" s="1"/>
  <c r="H58" i="2" s="1"/>
  <c r="I58" i="2" s="1"/>
  <c r="J58" i="2" s="1"/>
  <c r="K58" i="2" s="1"/>
  <c r="L58" i="2" s="1"/>
  <c r="M58" i="2" s="1"/>
  <c r="G10" i="2"/>
  <c r="H10" i="2" s="1"/>
  <c r="I10" i="2" s="1"/>
  <c r="J10" i="2" s="1"/>
  <c r="K10" i="2" s="1"/>
  <c r="L10" i="2" s="1"/>
  <c r="M10" i="2" s="1"/>
  <c r="H19" i="2"/>
  <c r="I19" i="2" s="1"/>
  <c r="J19" i="2" s="1"/>
  <c r="K19" i="2" s="1"/>
  <c r="L19" i="2" s="1"/>
  <c r="M19" i="2" s="1"/>
  <c r="G9" i="2"/>
  <c r="C51" i="2"/>
  <c r="D51" i="2" s="1"/>
  <c r="E51" i="2" s="1"/>
  <c r="F51" i="2" s="1"/>
  <c r="G51" i="2" s="1"/>
  <c r="H51" i="2" s="1"/>
  <c r="I51" i="2" s="1"/>
  <c r="J51" i="2" s="1"/>
  <c r="K51" i="2" s="1"/>
  <c r="L51" i="2" s="1"/>
  <c r="M51" i="2" s="1"/>
  <c r="C59" i="2"/>
  <c r="D59" i="2" s="1"/>
  <c r="E59" i="2" s="1"/>
  <c r="F59" i="2" s="1"/>
  <c r="G59" i="2" s="1"/>
  <c r="H59" i="2" s="1"/>
  <c r="I59" i="2" s="1"/>
  <c r="J59" i="2" s="1"/>
  <c r="K59" i="2" s="1"/>
  <c r="L59" i="2" s="1"/>
  <c r="M59" i="2" s="1"/>
  <c r="G8" i="2"/>
  <c r="H8" i="2" s="1"/>
  <c r="I8" i="2" s="1"/>
  <c r="J8" i="2" s="1"/>
  <c r="K8" i="2" s="1"/>
  <c r="L8" i="2" s="1"/>
  <c r="M8" i="2" s="1"/>
  <c r="H17" i="2"/>
  <c r="I17" i="2" s="1"/>
  <c r="J17" i="2" s="1"/>
  <c r="K17" i="2" s="1"/>
  <c r="L17" i="2" s="1"/>
  <c r="M17" i="2" s="1"/>
  <c r="H38" i="2"/>
  <c r="I38" i="2" s="1"/>
  <c r="J38" i="2" s="1"/>
  <c r="K38" i="2" s="1"/>
  <c r="L38" i="2" s="1"/>
  <c r="M38" i="2" s="1"/>
  <c r="C54" i="2"/>
  <c r="D54" i="2" s="1"/>
  <c r="E54" i="2" s="1"/>
  <c r="F54" i="2" s="1"/>
  <c r="G54" i="2" s="1"/>
  <c r="H54" i="2" s="1"/>
  <c r="I54" i="2" s="1"/>
  <c r="J54" i="2" s="1"/>
  <c r="K54" i="2" s="1"/>
  <c r="L54" i="2" s="1"/>
  <c r="M54" i="2" s="1"/>
  <c r="C66" i="2"/>
  <c r="D66" i="2" s="1"/>
  <c r="E66" i="2" s="1"/>
  <c r="F66" i="2" s="1"/>
  <c r="G66" i="2" s="1"/>
  <c r="H66" i="2" s="1"/>
  <c r="I66" i="2" s="1"/>
  <c r="J66" i="2" s="1"/>
  <c r="K66" i="2" s="1"/>
  <c r="L66" i="2" s="1"/>
  <c r="M66" i="2" s="1"/>
  <c r="H21" i="2"/>
  <c r="I21" i="2" s="1"/>
  <c r="J21" i="2" s="1"/>
  <c r="K21" i="2" s="1"/>
  <c r="L21" i="2" s="1"/>
  <c r="M21" i="2" s="1"/>
  <c r="C49" i="2"/>
  <c r="C57" i="2"/>
  <c r="D57" i="2" s="1"/>
  <c r="E57" i="2" s="1"/>
  <c r="F57" i="2" s="1"/>
  <c r="G57" i="2" s="1"/>
  <c r="H57" i="2" s="1"/>
  <c r="I57" i="2" s="1"/>
  <c r="J57" i="2" s="1"/>
  <c r="K57" i="2" s="1"/>
  <c r="L57" i="2" s="1"/>
  <c r="M57" i="2" s="1"/>
  <c r="I35" i="2"/>
  <c r="D36" i="1"/>
  <c r="D37" i="1"/>
  <c r="D41" i="1" s="1"/>
  <c r="M36" i="1"/>
  <c r="M37" i="1" s="1"/>
  <c r="M41" i="1" s="1"/>
  <c r="E36" i="1"/>
  <c r="E37" i="1" s="1"/>
  <c r="E41" i="1" s="1"/>
  <c r="H60" i="1"/>
  <c r="H64" i="1" s="1"/>
  <c r="H59" i="1"/>
  <c r="J59" i="1"/>
  <c r="J60" i="1" s="1"/>
  <c r="J64" i="1" s="1"/>
  <c r="I59" i="1"/>
  <c r="I60" i="1" s="1"/>
  <c r="I64" i="1" s="1"/>
  <c r="K59" i="1"/>
  <c r="K60" i="1"/>
  <c r="K64" i="1" s="1"/>
  <c r="L59" i="1"/>
  <c r="L60" i="1"/>
  <c r="L64" i="1" s="1"/>
  <c r="F36" i="1"/>
  <c r="F37" i="1"/>
  <c r="F41" i="1" s="1"/>
  <c r="G36" i="1"/>
  <c r="G37" i="1"/>
  <c r="G41" i="1" s="1"/>
  <c r="K37" i="1"/>
  <c r="K41" i="1" s="1"/>
  <c r="L36" i="1"/>
  <c r="L37" i="1" s="1"/>
  <c r="L41" i="1" s="1"/>
  <c r="H37" i="1"/>
  <c r="H41" i="1" s="1"/>
  <c r="I36" i="1"/>
  <c r="I37" i="1" s="1"/>
  <c r="I41" i="1" s="1"/>
  <c r="F59" i="1"/>
  <c r="F60" i="1" s="1"/>
  <c r="F64" i="1" s="1"/>
  <c r="B36" i="1"/>
  <c r="B37" i="1" s="1"/>
  <c r="B41" i="1" s="1"/>
  <c r="N41" i="1" s="1"/>
  <c r="J36" i="1"/>
  <c r="J37" i="1" s="1"/>
  <c r="J41" i="1" s="1"/>
  <c r="G59" i="1"/>
  <c r="G60" i="1" s="1"/>
  <c r="G64" i="1" s="1"/>
  <c r="N64" i="1" s="1"/>
  <c r="B71" i="1"/>
  <c r="B74" i="1" s="1"/>
  <c r="B76" i="1" s="1"/>
  <c r="B77" i="1" s="1"/>
  <c r="B78" i="1" s="1"/>
  <c r="D78" i="1" s="1"/>
  <c r="E60" i="1"/>
  <c r="C36" i="1"/>
  <c r="C37" i="1" s="1"/>
  <c r="C41" i="1" s="1"/>
  <c r="K36" i="1"/>
  <c r="D60" i="1"/>
  <c r="D64" i="1" s="1"/>
  <c r="M60" i="1"/>
  <c r="M64" i="1" s="1"/>
  <c r="G20" i="2" l="1"/>
  <c r="G22" i="2" s="1"/>
  <c r="H9" i="2"/>
  <c r="E44" i="2"/>
  <c r="O44" i="2"/>
  <c r="H37" i="2"/>
  <c r="H39" i="2" s="1"/>
  <c r="I33" i="2"/>
  <c r="D49" i="2"/>
  <c r="C60" i="2"/>
  <c r="C63" i="2" s="1"/>
  <c r="G40" i="2"/>
  <c r="G41" i="2" s="1"/>
  <c r="G44" i="2" s="1"/>
  <c r="N44" i="2" s="1"/>
  <c r="Q38" i="2" s="1"/>
  <c r="O64" i="1"/>
  <c r="E64" i="1"/>
  <c r="H41" i="2" l="1"/>
  <c r="H44" i="2" s="1"/>
  <c r="H40" i="2"/>
  <c r="I37" i="2"/>
  <c r="I39" i="2" s="1"/>
  <c r="J33" i="2"/>
  <c r="H20" i="2"/>
  <c r="H22" i="2" s="1"/>
  <c r="I9" i="2"/>
  <c r="C64" i="2"/>
  <c r="C65" i="2"/>
  <c r="C68" i="2" s="1"/>
  <c r="G23" i="2"/>
  <c r="G24" i="2" s="1"/>
  <c r="G27" i="2" s="1"/>
  <c r="D60" i="2"/>
  <c r="D63" i="2" s="1"/>
  <c r="E49" i="2"/>
  <c r="H23" i="2" l="1"/>
  <c r="H24" i="2"/>
  <c r="H27" i="2" s="1"/>
  <c r="E60" i="2"/>
  <c r="E63" i="2" s="1"/>
  <c r="F49" i="2"/>
  <c r="I40" i="2"/>
  <c r="I41" i="2" s="1"/>
  <c r="I44" i="2" s="1"/>
  <c r="J9" i="2"/>
  <c r="I20" i="2"/>
  <c r="I22" i="2" s="1"/>
  <c r="K33" i="2"/>
  <c r="J37" i="2"/>
  <c r="J39" i="2" s="1"/>
  <c r="D64" i="2"/>
  <c r="D65" i="2"/>
  <c r="D68" i="2" s="1"/>
  <c r="J20" i="2" l="1"/>
  <c r="J22" i="2" s="1"/>
  <c r="K9" i="2"/>
  <c r="E64" i="2"/>
  <c r="E65" i="2" s="1"/>
  <c r="E68" i="2" s="1"/>
  <c r="I23" i="2"/>
  <c r="I24" i="2" s="1"/>
  <c r="I27" i="2" s="1"/>
  <c r="F60" i="2"/>
  <c r="F63" i="2" s="1"/>
  <c r="G49" i="2"/>
  <c r="J40" i="2"/>
  <c r="J41" i="2"/>
  <c r="J44" i="2" s="1"/>
  <c r="L33" i="2"/>
  <c r="K37" i="2"/>
  <c r="K39" i="2" s="1"/>
  <c r="F65" i="2" l="1"/>
  <c r="F68" i="2" s="1"/>
  <c r="F64" i="2"/>
  <c r="G60" i="2"/>
  <c r="G63" i="2" s="1"/>
  <c r="H49" i="2"/>
  <c r="K20" i="2"/>
  <c r="K22" i="2" s="1"/>
  <c r="L9" i="2"/>
  <c r="K40" i="2"/>
  <c r="K41" i="2"/>
  <c r="K44" i="2" s="1"/>
  <c r="M33" i="2"/>
  <c r="M37" i="2" s="1"/>
  <c r="M39" i="2" s="1"/>
  <c r="L37" i="2"/>
  <c r="L39" i="2" s="1"/>
  <c r="J23" i="2"/>
  <c r="J24" i="2" s="1"/>
  <c r="J27" i="2" s="1"/>
  <c r="M40" i="2" l="1"/>
  <c r="M41" i="2" s="1"/>
  <c r="M44" i="2" s="1"/>
  <c r="K23" i="2"/>
  <c r="K24" i="2" s="1"/>
  <c r="K27" i="2" s="1"/>
  <c r="H60" i="2"/>
  <c r="H63" i="2" s="1"/>
  <c r="I49" i="2"/>
  <c r="L20" i="2"/>
  <c r="L22" i="2" s="1"/>
  <c r="M9" i="2"/>
  <c r="M20" i="2" s="1"/>
  <c r="M22" i="2" s="1"/>
  <c r="G65" i="2"/>
  <c r="G68" i="2" s="1"/>
  <c r="G64" i="2"/>
  <c r="L40" i="2"/>
  <c r="L41" i="2"/>
  <c r="L44" i="2" s="1"/>
  <c r="L24" i="2" l="1"/>
  <c r="L27" i="2" s="1"/>
  <c r="L23" i="2"/>
  <c r="H64" i="2"/>
  <c r="H65" i="2" s="1"/>
  <c r="H68" i="2" s="1"/>
  <c r="M23" i="2"/>
  <c r="M24" i="2" s="1"/>
  <c r="M27" i="2" s="1"/>
  <c r="N27" i="2" s="1"/>
  <c r="Q39" i="2" s="1"/>
  <c r="Q40" i="2" s="1"/>
  <c r="I60" i="2"/>
  <c r="I63" i="2" s="1"/>
  <c r="J49" i="2"/>
  <c r="J60" i="2" l="1"/>
  <c r="J63" i="2" s="1"/>
  <c r="K49" i="2"/>
  <c r="I64" i="2"/>
  <c r="I65" i="2"/>
  <c r="I68" i="2" s="1"/>
  <c r="L49" i="2" l="1"/>
  <c r="K60" i="2"/>
  <c r="K63" i="2" s="1"/>
  <c r="J64" i="2"/>
  <c r="J65" i="2"/>
  <c r="J68" i="2" s="1"/>
  <c r="L60" i="2" l="1"/>
  <c r="L63" i="2" s="1"/>
  <c r="M49" i="2"/>
  <c r="M60" i="2" s="1"/>
  <c r="M63" i="2" s="1"/>
  <c r="K64" i="2"/>
  <c r="K65" i="2"/>
  <c r="K68" i="2" s="1"/>
  <c r="L64" i="2" l="1"/>
  <c r="L65" i="2"/>
  <c r="L68" i="2" s="1"/>
  <c r="M64" i="2"/>
  <c r="M65" i="2" s="1"/>
  <c r="M68" i="2" s="1"/>
  <c r="N6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Brea, Nicolas Martin</author>
  </authors>
  <commentList>
    <comment ref="G42" authorId="0" shapeId="0" xr:uid="{6F6C551B-91E0-4663-94CD-7C1416DBC0A2}">
      <text>
        <r>
          <rPr>
            <b/>
            <sz val="9"/>
            <color indexed="81"/>
            <rFont val="Tahoma"/>
            <family val="2"/>
          </rPr>
          <t>Brea, Nicolas Martin:</t>
        </r>
        <r>
          <rPr>
            <sz val="9"/>
            <color indexed="81"/>
            <rFont val="Tahoma"/>
            <family val="2"/>
          </rPr>
          <t xml:space="preserve">
Igual que Dellepiane</t>
        </r>
      </text>
    </comment>
  </commentList>
</comments>
</file>

<file path=xl/sharedStrings.xml><?xml version="1.0" encoding="utf-8"?>
<sst xmlns="http://schemas.openxmlformats.org/spreadsheetml/2006/main" count="155" uniqueCount="71">
  <si>
    <t>Inflación Mensual 2022</t>
  </si>
  <si>
    <t>USD 2021</t>
  </si>
  <si>
    <t>USD 2022</t>
  </si>
  <si>
    <t>COPACKER: POLDITOS</t>
  </si>
  <si>
    <t>COSTO POR LITRO</t>
  </si>
  <si>
    <t>0,75 X 6</t>
  </si>
  <si>
    <t>Aceite de limon</t>
  </si>
  <si>
    <t>aceite de pomelo</t>
  </si>
  <si>
    <t>Agua</t>
  </si>
  <si>
    <t>Agua mezcla</t>
  </si>
  <si>
    <t>Alcohol</t>
  </si>
  <si>
    <t>Cardamomo</t>
  </si>
  <si>
    <t>Cedron</t>
  </si>
  <si>
    <t>Clavo de olor</t>
  </si>
  <si>
    <t>Coriandro</t>
  </si>
  <si>
    <t>Enebro Polaco</t>
  </si>
  <si>
    <t>Enebro Patagónico</t>
  </si>
  <si>
    <t>Flor de azhar</t>
  </si>
  <si>
    <t>Líquido</t>
  </si>
  <si>
    <t>Botellas</t>
  </si>
  <si>
    <t>Cajas</t>
  </si>
  <si>
    <t>Etiquetas Pecho</t>
  </si>
  <si>
    <t>Etiquetas Contra</t>
  </si>
  <si>
    <t>Pallet</t>
  </si>
  <si>
    <t>Precintos</t>
  </si>
  <si>
    <t>Separadores</t>
  </si>
  <si>
    <t>Tapones</t>
  </si>
  <si>
    <t>Interlayer</t>
  </si>
  <si>
    <t>COSTO INSUMOS</t>
  </si>
  <si>
    <t>Costo Producción + Financiero</t>
  </si>
  <si>
    <t>Rentabilidad</t>
  </si>
  <si>
    <t>COSTO PRODUCTO SIN IMPUESTOS</t>
  </si>
  <si>
    <t>Impuestos Internos 35,14%</t>
  </si>
  <si>
    <t>TOTAL x Litro ($)</t>
  </si>
  <si>
    <t>Año 2022 Ponderado</t>
  </si>
  <si>
    <t>COSTO LOGISTICO INSUMOS (FLETE)</t>
  </si>
  <si>
    <t>Verificador de Actualización</t>
  </si>
  <si>
    <t>VIC/HL en USD</t>
  </si>
  <si>
    <t>Volumen Referencia (botellas)</t>
  </si>
  <si>
    <t>COPACKER: PEÑON DEL AGUILA</t>
  </si>
  <si>
    <t>0,5 X 4</t>
  </si>
  <si>
    <t>Botánicos</t>
  </si>
  <si>
    <t>Precinto termocontraible</t>
  </si>
  <si>
    <t>Palet, esquinero y estrichado</t>
  </si>
  <si>
    <t>Tapon</t>
  </si>
  <si>
    <t>Etiqueta</t>
  </si>
  <si>
    <t>Botella</t>
  </si>
  <si>
    <t>Caja + Separador (proporcional)</t>
  </si>
  <si>
    <t xml:space="preserve">Servicios e  indirectos </t>
  </si>
  <si>
    <t>Costo Producción + Rentabilidad (Fazonado)</t>
  </si>
  <si>
    <t>COSTO LOGISTICO INSUMOS</t>
  </si>
  <si>
    <t>Polditos</t>
  </si>
  <si>
    <t>Peñon</t>
  </si>
  <si>
    <t>Liquido</t>
  </si>
  <si>
    <t>Packaging</t>
  </si>
  <si>
    <t>Indirectos</t>
  </si>
  <si>
    <t>Costo Producción + Rentabilidad</t>
  </si>
  <si>
    <t>COPACKER: DELLEPIANE</t>
  </si>
  <si>
    <t>Enebro</t>
  </si>
  <si>
    <t>Tapa Pilfer</t>
  </si>
  <si>
    <t>Caja</t>
  </si>
  <si>
    <t>Etiquetas Pecho y Contra</t>
  </si>
  <si>
    <t>Complementos</t>
  </si>
  <si>
    <t>Insumos Packaging</t>
  </si>
  <si>
    <t>Adicional 1er Mes por Inversion Tapadora</t>
  </si>
  <si>
    <t>Servicios Indirectos</t>
  </si>
  <si>
    <t>VIC PONDERADO</t>
  </si>
  <si>
    <t>BIB</t>
  </si>
  <si>
    <t>Servicio de BIB</t>
  </si>
  <si>
    <t xml:space="preserve">Costo Producción y Financiero </t>
  </si>
  <si>
    <t>Delle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</si>
</sst>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1"/>
      <color rgb="FF0070C0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color rgb="FF0070C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595959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9">
    <xf numFmtId="0" fontId="0" fillId="0" borderId="0" xfId="0"/>
    <xf numFmtId="0" fontId="3" fillId="0" borderId="0" xfId="0" applyFont="1"/>
    <xf numFmtId="164" fontId="3" fillId="0" borderId="0" xfId="0" applyNumberFormat="1" applyFont="1"/>
    <xf numFmtId="9" fontId="0" fillId="0" borderId="0" xfId="1" applyFont="1"/>
    <xf numFmtId="164" fontId="0" fillId="0" borderId="0" xfId="1" applyNumberFormat="1" applyFont="1"/>
    <xf numFmtId="0" fontId="3" fillId="2" borderId="0" xfId="0" applyFont="1" applyFill="1" applyAlignment="1">
      <alignment horizontal="center"/>
    </xf>
    <xf numFmtId="17" fontId="5" fillId="0" borderId="1" xfId="0" applyNumberFormat="1" applyFont="1" applyBorder="1" applyAlignment="1">
      <alignment horizontal="center" vertical="center"/>
    </xf>
    <xf numFmtId="17" fontId="5" fillId="0" borderId="2" xfId="0" applyNumberFormat="1" applyFont="1" applyBorder="1" applyAlignment="1">
      <alignment horizontal="center" vertical="center"/>
    </xf>
    <xf numFmtId="0" fontId="6" fillId="3" borderId="3" xfId="0" applyFont="1" applyFill="1" applyBorder="1" applyAlignment="1">
      <alignment horizont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6" xfId="0" applyFont="1" applyBorder="1"/>
    <xf numFmtId="4" fontId="0" fillId="0" borderId="4" xfId="0" applyNumberFormat="1" applyBorder="1" applyAlignment="1">
      <alignment horizontal="center" vertical="center"/>
    </xf>
    <xf numFmtId="4" fontId="0" fillId="0" borderId="5" xfId="0" applyNumberFormat="1" applyBorder="1" applyAlignment="1">
      <alignment horizontal="center" vertical="center"/>
    </xf>
    <xf numFmtId="4" fontId="9" fillId="0" borderId="5" xfId="0" applyNumberFormat="1" applyFont="1" applyBorder="1" applyAlignment="1">
      <alignment horizontal="center" vertical="center"/>
    </xf>
    <xf numFmtId="4" fontId="0" fillId="0" borderId="7" xfId="0" applyNumberFormat="1" applyBorder="1" applyAlignment="1">
      <alignment horizontal="center" vertical="center"/>
    </xf>
    <xf numFmtId="0" fontId="8" fillId="0" borderId="8" xfId="0" applyFont="1" applyBorder="1"/>
    <xf numFmtId="4" fontId="0" fillId="0" borderId="0" xfId="0" applyNumberFormat="1" applyAlignment="1">
      <alignment horizontal="center" vertical="center"/>
    </xf>
    <xf numFmtId="0" fontId="10" fillId="4" borderId="6" xfId="0" applyFont="1" applyFill="1" applyBorder="1"/>
    <xf numFmtId="4" fontId="3" fillId="4" borderId="5" xfId="0" applyNumberFormat="1" applyFont="1" applyFill="1" applyBorder="1" applyAlignment="1">
      <alignment horizontal="center" vertical="center"/>
    </xf>
    <xf numFmtId="4" fontId="11" fillId="4" borderId="5" xfId="0" applyNumberFormat="1" applyFont="1" applyFill="1" applyBorder="1" applyAlignment="1">
      <alignment horizontal="center" vertical="center"/>
    </xf>
    <xf numFmtId="0" fontId="8" fillId="0" borderId="9" xfId="0" applyFont="1" applyBorder="1"/>
    <xf numFmtId="4" fontId="0" fillId="0" borderId="10" xfId="0" applyNumberFormat="1" applyBorder="1" applyAlignment="1">
      <alignment horizontal="center" vertical="center"/>
    </xf>
    <xf numFmtId="4" fontId="9" fillId="0" borderId="10" xfId="0" applyNumberFormat="1" applyFont="1" applyBorder="1" applyAlignment="1">
      <alignment horizontal="center" vertical="center"/>
    </xf>
    <xf numFmtId="0" fontId="10" fillId="4" borderId="11" xfId="0" applyFont="1" applyFill="1" applyBorder="1"/>
    <xf numFmtId="4" fontId="3" fillId="4" borderId="12" xfId="0" applyNumberFormat="1" applyFont="1" applyFill="1" applyBorder="1" applyAlignment="1">
      <alignment horizontal="center" vertical="center"/>
    </xf>
    <xf numFmtId="4" fontId="11" fillId="4" borderId="12" xfId="0" applyNumberFormat="1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/>
    </xf>
    <xf numFmtId="0" fontId="10" fillId="4" borderId="0" xfId="0" applyFont="1" applyFill="1"/>
    <xf numFmtId="0" fontId="0" fillId="6" borderId="0" xfId="0" applyFill="1"/>
    <xf numFmtId="0" fontId="5" fillId="7" borderId="13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5" fontId="12" fillId="8" borderId="0" xfId="0" applyNumberFormat="1" applyFont="1" applyFill="1" applyAlignment="1">
      <alignment horizontal="center"/>
    </xf>
    <xf numFmtId="3" fontId="0" fillId="0" borderId="12" xfId="0" applyNumberFormat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17" fontId="5" fillId="0" borderId="14" xfId="0" applyNumberFormat="1" applyFont="1" applyBorder="1" applyAlignment="1">
      <alignment horizontal="center" vertical="center"/>
    </xf>
    <xf numFmtId="0" fontId="6" fillId="3" borderId="15" xfId="0" applyFont="1" applyFill="1" applyBorder="1" applyAlignment="1">
      <alignment horizontal="center"/>
    </xf>
    <xf numFmtId="0" fontId="7" fillId="0" borderId="16" xfId="0" applyFont="1" applyBorder="1" applyAlignment="1">
      <alignment horizontal="center" vertical="center"/>
    </xf>
    <xf numFmtId="0" fontId="8" fillId="0" borderId="17" xfId="0" applyFont="1" applyBorder="1"/>
    <xf numFmtId="4" fontId="9" fillId="0" borderId="16" xfId="0" applyNumberFormat="1" applyFont="1" applyBorder="1" applyAlignment="1">
      <alignment horizontal="center" vertical="center"/>
    </xf>
    <xf numFmtId="0" fontId="8" fillId="0" borderId="15" xfId="0" applyFont="1" applyBorder="1"/>
    <xf numFmtId="0" fontId="10" fillId="4" borderId="18" xfId="0" applyFont="1" applyFill="1" applyBorder="1"/>
    <xf numFmtId="4" fontId="11" fillId="4" borderId="16" xfId="0" applyNumberFormat="1" applyFont="1" applyFill="1" applyBorder="1" applyAlignment="1">
      <alignment horizontal="center" vertical="center"/>
    </xf>
    <xf numFmtId="4" fontId="3" fillId="4" borderId="16" xfId="0" applyNumberFormat="1" applyFont="1" applyFill="1" applyBorder="1" applyAlignment="1">
      <alignment horizontal="center" vertical="center"/>
    </xf>
    <xf numFmtId="0" fontId="8" fillId="0" borderId="19" xfId="0" applyFont="1" applyBorder="1"/>
    <xf numFmtId="9" fontId="0" fillId="0" borderId="0" xfId="0" applyNumberFormat="1"/>
    <xf numFmtId="10" fontId="0" fillId="0" borderId="0" xfId="0" applyNumberFormat="1"/>
    <xf numFmtId="0" fontId="8" fillId="0" borderId="18" xfId="0" applyFont="1" applyBorder="1"/>
    <xf numFmtId="4" fontId="9" fillId="0" borderId="20" xfId="0" applyNumberFormat="1" applyFont="1" applyBorder="1" applyAlignment="1">
      <alignment horizontal="center" vertical="center"/>
    </xf>
    <xf numFmtId="4" fontId="3" fillId="4" borderId="2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10" fontId="0" fillId="0" borderId="0" xfId="1" applyNumberFormat="1" applyFont="1"/>
    <xf numFmtId="17" fontId="5" fillId="0" borderId="22" xfId="0" applyNumberFormat="1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4" fontId="0" fillId="0" borderId="26" xfId="0" applyNumberFormat="1" applyBorder="1" applyAlignment="1">
      <alignment horizontal="center" vertical="center"/>
    </xf>
    <xf numFmtId="4" fontId="0" fillId="0" borderId="27" xfId="0" applyNumberFormat="1" applyBorder="1" applyAlignment="1">
      <alignment horizontal="center" vertical="center"/>
    </xf>
    <xf numFmtId="4" fontId="0" fillId="0" borderId="28" xfId="0" applyNumberFormat="1" applyBorder="1" applyAlignment="1">
      <alignment horizontal="center" vertical="center"/>
    </xf>
    <xf numFmtId="4" fontId="0" fillId="0" borderId="22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4" fontId="9" fillId="0" borderId="1" xfId="0" applyNumberFormat="1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4" fontId="2" fillId="0" borderId="2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29" xfId="0" applyNumberFormat="1" applyFont="1" applyBorder="1" applyAlignment="1">
      <alignment horizontal="center" vertical="center"/>
    </xf>
    <xf numFmtId="4" fontId="2" fillId="0" borderId="10" xfId="0" applyNumberFormat="1" applyFont="1" applyBorder="1" applyAlignment="1">
      <alignment horizontal="center" vertical="center"/>
    </xf>
    <xf numFmtId="4" fontId="2" fillId="0" borderId="30" xfId="0" applyNumberFormat="1" applyFont="1" applyBorder="1" applyAlignment="1">
      <alignment horizontal="center" vertical="center"/>
    </xf>
    <xf numFmtId="4" fontId="13" fillId="4" borderId="13" xfId="0" applyNumberFormat="1" applyFont="1" applyFill="1" applyBorder="1" applyAlignment="1">
      <alignment horizontal="center" vertical="center"/>
    </xf>
    <xf numFmtId="4" fontId="13" fillId="4" borderId="12" xfId="0" applyNumberFormat="1" applyFont="1" applyFill="1" applyBorder="1" applyAlignment="1">
      <alignment horizontal="center" vertical="center"/>
    </xf>
    <xf numFmtId="4" fontId="13" fillId="4" borderId="31" xfId="0" applyNumberFormat="1" applyFont="1" applyFill="1" applyBorder="1" applyAlignment="1">
      <alignment horizontal="center" vertical="center"/>
    </xf>
    <xf numFmtId="4" fontId="2" fillId="0" borderId="32" xfId="0" applyNumberFormat="1" applyFont="1" applyBorder="1" applyAlignment="1">
      <alignment horizontal="center" vertical="center"/>
    </xf>
    <xf numFmtId="4" fontId="2" fillId="0" borderId="7" xfId="0" applyNumberFormat="1" applyFont="1" applyBorder="1" applyAlignment="1">
      <alignment horizontal="center" vertical="center"/>
    </xf>
    <xf numFmtId="4" fontId="9" fillId="0" borderId="7" xfId="0" applyNumberFormat="1" applyFont="1" applyBorder="1" applyAlignment="1">
      <alignment horizontal="center" vertical="center"/>
    </xf>
    <xf numFmtId="4" fontId="2" fillId="0" borderId="33" xfId="0" applyNumberFormat="1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3" fontId="0" fillId="0" borderId="31" xfId="0" applyNumberFormat="1" applyBorder="1" applyAlignment="1">
      <alignment horizontal="center" vertical="center"/>
    </xf>
    <xf numFmtId="4" fontId="2" fillId="0" borderId="22" xfId="0" applyNumberFormat="1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/>
    </xf>
    <xf numFmtId="4" fontId="0" fillId="0" borderId="21" xfId="0" applyNumberFormat="1" applyBorder="1" applyAlignment="1">
      <alignment horizontal="center" vertical="center"/>
    </xf>
    <xf numFmtId="4" fontId="2" fillId="0" borderId="28" xfId="0" applyNumberFormat="1" applyFont="1" applyBorder="1" applyAlignment="1">
      <alignment horizontal="center" vertical="center"/>
    </xf>
    <xf numFmtId="4" fontId="3" fillId="4" borderId="13" xfId="0" applyNumberFormat="1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3" fontId="2" fillId="0" borderId="12" xfId="0" applyNumberFormat="1" applyFont="1" applyBorder="1" applyAlignment="1">
      <alignment horizontal="center" vertical="center"/>
    </xf>
    <xf numFmtId="3" fontId="2" fillId="0" borderId="31" xfId="0" applyNumberFormat="1" applyFont="1" applyBorder="1" applyAlignment="1">
      <alignment horizontal="center" vertical="center"/>
    </xf>
    <xf numFmtId="17" fontId="5" fillId="0" borderId="34" xfId="0" applyNumberFormat="1" applyFont="1" applyBorder="1" applyAlignment="1">
      <alignment horizontal="center" vertical="center"/>
    </xf>
    <xf numFmtId="17" fontId="5" fillId="0" borderId="35" xfId="0" applyNumberFormat="1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4" fontId="9" fillId="0" borderId="22" xfId="0" applyNumberFormat="1" applyFont="1" applyBorder="1" applyAlignment="1">
      <alignment horizontal="center" vertical="center"/>
    </xf>
    <xf numFmtId="4" fontId="9" fillId="0" borderId="4" xfId="0" applyNumberFormat="1" applyFont="1" applyBorder="1" applyAlignment="1">
      <alignment horizontal="center" vertical="center"/>
    </xf>
    <xf numFmtId="4" fontId="9" fillId="0" borderId="23" xfId="0" applyNumberFormat="1" applyFont="1" applyBorder="1" applyAlignment="1">
      <alignment horizontal="center" vertical="center"/>
    </xf>
    <xf numFmtId="4" fontId="2" fillId="0" borderId="24" xfId="0" applyNumberFormat="1" applyFont="1" applyBorder="1" applyAlignment="1">
      <alignment horizontal="center" vertical="center"/>
    </xf>
    <xf numFmtId="4" fontId="2" fillId="0" borderId="25" xfId="0" applyNumberFormat="1" applyFont="1" applyBorder="1" applyAlignment="1">
      <alignment horizontal="center" vertical="center"/>
    </xf>
    <xf numFmtId="4" fontId="11" fillId="4" borderId="13" xfId="0" applyNumberFormat="1" applyFont="1" applyFill="1" applyBorder="1" applyAlignment="1">
      <alignment horizontal="center" vertical="center"/>
    </xf>
    <xf numFmtId="4" fontId="9" fillId="0" borderId="13" xfId="0" applyNumberFormat="1" applyFont="1" applyBorder="1" applyAlignment="1">
      <alignment horizontal="center" vertical="center"/>
    </xf>
    <xf numFmtId="4" fontId="2" fillId="0" borderId="12" xfId="0" applyNumberFormat="1" applyFont="1" applyBorder="1" applyAlignment="1">
      <alignment horizontal="center" vertical="center"/>
    </xf>
    <xf numFmtId="4" fontId="2" fillId="0" borderId="31" xfId="0" applyNumberFormat="1" applyFont="1" applyBorder="1" applyAlignment="1">
      <alignment horizontal="center" vertical="center"/>
    </xf>
    <xf numFmtId="17" fontId="5" fillId="4" borderId="13" xfId="0" applyNumberFormat="1" applyFont="1" applyFill="1" applyBorder="1" applyAlignment="1">
      <alignment horizontal="center" vertical="center"/>
    </xf>
    <xf numFmtId="17" fontId="5" fillId="4" borderId="31" xfId="0" applyNumberFormat="1" applyFont="1" applyFill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4" fontId="0" fillId="0" borderId="29" xfId="0" applyNumberFormat="1" applyBorder="1" applyAlignment="1">
      <alignment horizontal="center" vertical="center"/>
    </xf>
    <xf numFmtId="4" fontId="3" fillId="4" borderId="4" xfId="0" applyNumberFormat="1" applyFont="1" applyFill="1" applyBorder="1" applyAlignment="1">
      <alignment horizontal="center" vertical="center"/>
    </xf>
    <xf numFmtId="4" fontId="3" fillId="4" borderId="29" xfId="0" applyNumberFormat="1" applyFont="1" applyFill="1" applyBorder="1" applyAlignment="1">
      <alignment horizontal="center" vertical="center"/>
    </xf>
    <xf numFmtId="4" fontId="3" fillId="4" borderId="23" xfId="0" applyNumberFormat="1" applyFont="1" applyFill="1" applyBorder="1" applyAlignment="1">
      <alignment horizontal="center" vertical="center"/>
    </xf>
    <xf numFmtId="4" fontId="3" fillId="4" borderId="25" xfId="0" applyNumberFormat="1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heuserbuschinbev-my.sharepoint.com/personal/nicobrea_quilmes_com_ar/Documents/Beyond%20Beer/VIC/VIC%202022%20Adyacencias%20-%20Templo%20del%20VI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dra 1930"/>
      <sheetName val="Isidra"/>
      <sheetName val="Del Valle"/>
      <sheetName val="Bosque Original"/>
      <sheetName val="Rider Original"/>
      <sheetName val="Bosque Nativo"/>
      <sheetName val="Rider"/>
      <sheetName val="Patagonia Ginkgo"/>
      <sheetName val="Mikes"/>
      <sheetName val="Spritzer"/>
      <sheetName val="Tratenfu"/>
    </sheetNames>
    <sheetDataSet>
      <sheetData sheetId="0">
        <row r="1">
          <cell r="B1">
            <v>3.7499999999999999E-2</v>
          </cell>
        </row>
        <row r="3">
          <cell r="B3">
            <v>125.22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885DC-D385-426C-9F76-5BC104CDE486}">
  <dimension ref="A1:Q84"/>
  <sheetViews>
    <sheetView tabSelected="1" workbookViewId="0">
      <selection activeCell="A17" sqref="A17"/>
    </sheetView>
  </sheetViews>
  <sheetFormatPr baseColWidth="10" defaultColWidth="10.85546875" defaultRowHeight="15" outlineLevelRow="1" x14ac:dyDescent="0.25"/>
  <cols>
    <col min="1" max="1" width="33.28515625" customWidth="1"/>
    <col min="2" max="13" width="8.42578125" customWidth="1"/>
    <col min="14" max="14" width="18.42578125" customWidth="1"/>
  </cols>
  <sheetData>
    <row r="1" spans="1:13" x14ac:dyDescent="0.25">
      <c r="A1" s="1" t="s">
        <v>0</v>
      </c>
      <c r="B1" s="2">
        <f>'[1]Sidra 1930'!B1</f>
        <v>3.7499999999999999E-2</v>
      </c>
    </row>
    <row r="2" spans="1:13" x14ac:dyDescent="0.25">
      <c r="A2" s="1" t="s">
        <v>1</v>
      </c>
      <c r="B2" s="1">
        <v>102.6</v>
      </c>
    </row>
    <row r="3" spans="1:13" x14ac:dyDescent="0.25">
      <c r="A3" s="1" t="s">
        <v>2</v>
      </c>
      <c r="B3" s="1">
        <f>'[1]Sidra 1930'!B3</f>
        <v>125.22</v>
      </c>
      <c r="D3" s="3">
        <f>1-(B3/B2)</f>
        <v>-0.22046783625731003</v>
      </c>
      <c r="E3" s="4">
        <f>(D3*(-1))/12</f>
        <v>1.8372319688109168E-2</v>
      </c>
    </row>
    <row r="5" spans="1:13" ht="15.75" thickBot="1" x14ac:dyDescent="0.3"/>
    <row r="6" spans="1:13" x14ac:dyDescent="0.25">
      <c r="A6" s="5" t="s">
        <v>57</v>
      </c>
      <c r="B6" s="52">
        <v>44562</v>
      </c>
      <c r="C6" s="6">
        <v>44593</v>
      </c>
      <c r="D6" s="6">
        <v>44621</v>
      </c>
      <c r="E6" s="6">
        <v>44652</v>
      </c>
      <c r="F6" s="6">
        <v>44682</v>
      </c>
      <c r="G6" s="6">
        <v>44713</v>
      </c>
      <c r="H6" s="6">
        <v>44743</v>
      </c>
      <c r="I6" s="6">
        <v>44774</v>
      </c>
      <c r="J6" s="6">
        <v>44805</v>
      </c>
      <c r="K6" s="6">
        <v>44835</v>
      </c>
      <c r="L6" s="6">
        <v>44866</v>
      </c>
      <c r="M6" s="7">
        <v>44896</v>
      </c>
    </row>
    <row r="7" spans="1:13" ht="15.75" thickBot="1" x14ac:dyDescent="0.3">
      <c r="A7" s="8" t="s">
        <v>4</v>
      </c>
      <c r="B7" s="53" t="s">
        <v>5</v>
      </c>
      <c r="C7" s="54" t="str">
        <f>B7</f>
        <v>0,75 X 6</v>
      </c>
      <c r="D7" s="54" t="str">
        <f t="shared" ref="D7:M7" si="0">C7</f>
        <v>0,75 X 6</v>
      </c>
      <c r="E7" s="54" t="str">
        <f t="shared" si="0"/>
        <v>0,75 X 6</v>
      </c>
      <c r="F7" s="54" t="str">
        <f t="shared" si="0"/>
        <v>0,75 X 6</v>
      </c>
      <c r="G7" s="54" t="str">
        <f t="shared" si="0"/>
        <v>0,75 X 6</v>
      </c>
      <c r="H7" s="54" t="str">
        <f t="shared" si="0"/>
        <v>0,75 X 6</v>
      </c>
      <c r="I7" s="54" t="str">
        <f t="shared" si="0"/>
        <v>0,75 X 6</v>
      </c>
      <c r="J7" s="54" t="str">
        <f t="shared" si="0"/>
        <v>0,75 X 6</v>
      </c>
      <c r="K7" s="54" t="str">
        <f t="shared" si="0"/>
        <v>0,75 X 6</v>
      </c>
      <c r="L7" s="54" t="str">
        <f t="shared" si="0"/>
        <v>0,75 X 6</v>
      </c>
      <c r="M7" s="55" t="str">
        <f t="shared" si="0"/>
        <v>0,75 X 6</v>
      </c>
    </row>
    <row r="8" spans="1:13" ht="15.75" hidden="1" customHeight="1" outlineLevel="1" x14ac:dyDescent="0.25">
      <c r="A8" s="11" t="s">
        <v>10</v>
      </c>
      <c r="B8" s="56"/>
      <c r="C8" s="57"/>
      <c r="D8" s="57"/>
      <c r="E8" s="57"/>
      <c r="F8" s="57"/>
      <c r="G8" s="57">
        <f t="shared" ref="G8:M19" si="1">F8*(1+$B$1)</f>
        <v>0</v>
      </c>
      <c r="H8" s="57">
        <f t="shared" si="1"/>
        <v>0</v>
      </c>
      <c r="I8" s="57">
        <f t="shared" si="1"/>
        <v>0</v>
      </c>
      <c r="J8" s="57">
        <f t="shared" si="1"/>
        <v>0</v>
      </c>
      <c r="K8" s="57">
        <f t="shared" si="1"/>
        <v>0</v>
      </c>
      <c r="L8" s="57">
        <f t="shared" si="1"/>
        <v>0</v>
      </c>
      <c r="M8" s="57">
        <f t="shared" si="1"/>
        <v>0</v>
      </c>
    </row>
    <row r="9" spans="1:13" ht="15.75" hidden="1" customHeight="1" outlineLevel="1" x14ac:dyDescent="0.25">
      <c r="A9" s="11" t="s">
        <v>6</v>
      </c>
      <c r="B9" s="12"/>
      <c r="C9" s="13"/>
      <c r="D9" s="13"/>
      <c r="E9" s="13"/>
      <c r="F9" s="13"/>
      <c r="G9" s="13">
        <f t="shared" si="1"/>
        <v>0</v>
      </c>
      <c r="H9" s="13">
        <f t="shared" si="1"/>
        <v>0</v>
      </c>
      <c r="I9" s="13">
        <f t="shared" si="1"/>
        <v>0</v>
      </c>
      <c r="J9" s="13">
        <f t="shared" si="1"/>
        <v>0</v>
      </c>
      <c r="K9" s="13">
        <f t="shared" si="1"/>
        <v>0</v>
      </c>
      <c r="L9" s="13">
        <f t="shared" si="1"/>
        <v>0</v>
      </c>
      <c r="M9" s="13">
        <f t="shared" si="1"/>
        <v>0</v>
      </c>
    </row>
    <row r="10" spans="1:13" ht="15.75" hidden="1" customHeight="1" outlineLevel="1" x14ac:dyDescent="0.25">
      <c r="A10" s="11" t="s">
        <v>7</v>
      </c>
      <c r="B10" s="12"/>
      <c r="C10" s="13"/>
      <c r="D10" s="13"/>
      <c r="E10" s="13"/>
      <c r="F10" s="13"/>
      <c r="G10" s="13">
        <f t="shared" si="1"/>
        <v>0</v>
      </c>
      <c r="H10" s="13">
        <f t="shared" si="1"/>
        <v>0</v>
      </c>
      <c r="I10" s="13">
        <f t="shared" si="1"/>
        <v>0</v>
      </c>
      <c r="J10" s="13">
        <f t="shared" si="1"/>
        <v>0</v>
      </c>
      <c r="K10" s="13">
        <f t="shared" si="1"/>
        <v>0</v>
      </c>
      <c r="L10" s="13">
        <f t="shared" si="1"/>
        <v>0</v>
      </c>
      <c r="M10" s="13">
        <f t="shared" si="1"/>
        <v>0</v>
      </c>
    </row>
    <row r="11" spans="1:13" ht="15.75" hidden="1" customHeight="1" outlineLevel="1" x14ac:dyDescent="0.25">
      <c r="A11" s="11" t="s">
        <v>11</v>
      </c>
      <c r="B11" s="12"/>
      <c r="C11" s="13"/>
      <c r="D11" s="13"/>
      <c r="E11" s="13"/>
      <c r="F11" s="13"/>
      <c r="G11" s="13">
        <f t="shared" si="1"/>
        <v>0</v>
      </c>
      <c r="H11" s="13">
        <f t="shared" si="1"/>
        <v>0</v>
      </c>
      <c r="I11" s="13">
        <f t="shared" si="1"/>
        <v>0</v>
      </c>
      <c r="J11" s="13">
        <f t="shared" si="1"/>
        <v>0</v>
      </c>
      <c r="K11" s="13">
        <f t="shared" si="1"/>
        <v>0</v>
      </c>
      <c r="L11" s="13">
        <f t="shared" si="1"/>
        <v>0</v>
      </c>
      <c r="M11" s="13">
        <f t="shared" si="1"/>
        <v>0</v>
      </c>
    </row>
    <row r="12" spans="1:13" ht="15.75" hidden="1" customHeight="1" outlineLevel="1" x14ac:dyDescent="0.25">
      <c r="A12" s="11" t="s">
        <v>14</v>
      </c>
      <c r="B12" s="12"/>
      <c r="C12" s="13"/>
      <c r="D12" s="13"/>
      <c r="E12" s="13"/>
      <c r="F12" s="13"/>
      <c r="G12" s="13">
        <f t="shared" si="1"/>
        <v>0</v>
      </c>
      <c r="H12" s="13">
        <f t="shared" si="1"/>
        <v>0</v>
      </c>
      <c r="I12" s="13">
        <f t="shared" si="1"/>
        <v>0</v>
      </c>
      <c r="J12" s="13">
        <f t="shared" si="1"/>
        <v>0</v>
      </c>
      <c r="K12" s="13">
        <f t="shared" si="1"/>
        <v>0</v>
      </c>
      <c r="L12" s="13">
        <f t="shared" si="1"/>
        <v>0</v>
      </c>
      <c r="M12" s="13">
        <f t="shared" si="1"/>
        <v>0</v>
      </c>
    </row>
    <row r="13" spans="1:13" ht="15.75" hidden="1" customHeight="1" outlineLevel="1" thickBot="1" x14ac:dyDescent="0.3">
      <c r="A13" s="11" t="s">
        <v>58</v>
      </c>
      <c r="B13" s="58"/>
      <c r="C13" s="22"/>
      <c r="D13" s="22"/>
      <c r="E13" s="22"/>
      <c r="F13" s="22"/>
      <c r="G13" s="22">
        <f t="shared" ref="G13:M13" si="2">F13*(1+$E$3)</f>
        <v>0</v>
      </c>
      <c r="H13" s="22">
        <f t="shared" si="2"/>
        <v>0</v>
      </c>
      <c r="I13" s="22">
        <f t="shared" si="2"/>
        <v>0</v>
      </c>
      <c r="J13" s="22">
        <f t="shared" si="2"/>
        <v>0</v>
      </c>
      <c r="K13" s="22">
        <f t="shared" si="2"/>
        <v>0</v>
      </c>
      <c r="L13" s="22">
        <f t="shared" si="2"/>
        <v>0</v>
      </c>
      <c r="M13" s="22">
        <f t="shared" si="2"/>
        <v>0</v>
      </c>
    </row>
    <row r="14" spans="1:13" ht="15.75" customHeight="1" collapsed="1" x14ac:dyDescent="0.25">
      <c r="A14" s="16" t="s">
        <v>18</v>
      </c>
      <c r="B14" s="59"/>
      <c r="C14" s="60"/>
      <c r="D14" s="60"/>
      <c r="E14" s="60"/>
      <c r="F14" s="60"/>
      <c r="G14" s="61">
        <f>33/0.75</f>
        <v>44</v>
      </c>
      <c r="H14" s="62">
        <f t="shared" ref="H14:M15" si="3">G14*(1+$B$1)</f>
        <v>45.650000000000006</v>
      </c>
      <c r="I14" s="62">
        <f t="shared" si="3"/>
        <v>47.361875000000012</v>
      </c>
      <c r="J14" s="62">
        <f t="shared" si="3"/>
        <v>49.137945312500015</v>
      </c>
      <c r="K14" s="62">
        <f t="shared" si="3"/>
        <v>50.980618261718767</v>
      </c>
      <c r="L14" s="62">
        <f t="shared" si="3"/>
        <v>52.892391446533225</v>
      </c>
      <c r="M14" s="63">
        <f t="shared" si="3"/>
        <v>54.875856125778228</v>
      </c>
    </row>
    <row r="15" spans="1:13" x14ac:dyDescent="0.25">
      <c r="A15" s="11" t="s">
        <v>59</v>
      </c>
      <c r="B15" s="12"/>
      <c r="C15" s="13"/>
      <c r="D15" s="13"/>
      <c r="E15" s="13"/>
      <c r="F15" s="13"/>
      <c r="G15" s="14">
        <f>7.32/0.75</f>
        <v>9.76</v>
      </c>
      <c r="H15" s="64">
        <f t="shared" si="3"/>
        <v>10.126000000000001</v>
      </c>
      <c r="I15" s="64">
        <f t="shared" si="3"/>
        <v>10.505725000000002</v>
      </c>
      <c r="J15" s="64">
        <f t="shared" si="3"/>
        <v>10.899689687500002</v>
      </c>
      <c r="K15" s="64">
        <f t="shared" si="3"/>
        <v>11.308428050781254</v>
      </c>
      <c r="L15" s="64">
        <f t="shared" si="3"/>
        <v>11.732494102685552</v>
      </c>
      <c r="M15" s="65">
        <f t="shared" si="3"/>
        <v>12.172462631536261</v>
      </c>
    </row>
    <row r="16" spans="1:13" x14ac:dyDescent="0.25">
      <c r="A16" s="11" t="s">
        <v>46</v>
      </c>
      <c r="B16" s="12"/>
      <c r="C16" s="13"/>
      <c r="D16" s="13"/>
      <c r="E16" s="13"/>
      <c r="F16" s="13"/>
      <c r="G16" s="14">
        <f>39.3/0.75</f>
        <v>52.4</v>
      </c>
      <c r="H16" s="64">
        <f t="shared" si="1"/>
        <v>54.365000000000002</v>
      </c>
      <c r="I16" s="64">
        <f t="shared" si="1"/>
        <v>56.403687500000004</v>
      </c>
      <c r="J16" s="64">
        <f t="shared" si="1"/>
        <v>58.518825781250008</v>
      </c>
      <c r="K16" s="64">
        <f t="shared" si="1"/>
        <v>60.713281748046889</v>
      </c>
      <c r="L16" s="64">
        <f t="shared" si="1"/>
        <v>62.990029813598653</v>
      </c>
      <c r="M16" s="65">
        <f t="shared" si="1"/>
        <v>65.352155931608607</v>
      </c>
    </row>
    <row r="17" spans="1:14" x14ac:dyDescent="0.25">
      <c r="A17" s="11" t="s">
        <v>60</v>
      </c>
      <c r="B17" s="12"/>
      <c r="C17" s="13"/>
      <c r="D17" s="13"/>
      <c r="E17" s="13"/>
      <c r="F17" s="13"/>
      <c r="G17" s="14">
        <f>6.55/0.75</f>
        <v>8.7333333333333325</v>
      </c>
      <c r="H17" s="64">
        <f t="shared" si="1"/>
        <v>9.0608333333333331</v>
      </c>
      <c r="I17" s="64">
        <f t="shared" si="1"/>
        <v>9.4006145833333346</v>
      </c>
      <c r="J17" s="64">
        <f t="shared" si="1"/>
        <v>9.7531376302083359</v>
      </c>
      <c r="K17" s="64">
        <f t="shared" si="1"/>
        <v>10.118880291341149</v>
      </c>
      <c r="L17" s="64">
        <f t="shared" si="1"/>
        <v>10.498338302266443</v>
      </c>
      <c r="M17" s="65">
        <f t="shared" si="1"/>
        <v>10.892025988601436</v>
      </c>
    </row>
    <row r="18" spans="1:14" x14ac:dyDescent="0.25">
      <c r="A18" s="11" t="s">
        <v>61</v>
      </c>
      <c r="B18" s="12"/>
      <c r="C18" s="13"/>
      <c r="D18" s="13"/>
      <c r="E18" s="13"/>
      <c r="F18" s="13"/>
      <c r="G18" s="14">
        <f>6/0.75</f>
        <v>8</v>
      </c>
      <c r="H18" s="64">
        <f t="shared" si="1"/>
        <v>8.3000000000000007</v>
      </c>
      <c r="I18" s="64">
        <f t="shared" si="1"/>
        <v>8.6112500000000018</v>
      </c>
      <c r="J18" s="64">
        <f t="shared" si="1"/>
        <v>8.9341718750000023</v>
      </c>
      <c r="K18" s="64">
        <f t="shared" si="1"/>
        <v>9.2692033203125028</v>
      </c>
      <c r="L18" s="64">
        <f t="shared" si="1"/>
        <v>9.616798444824223</v>
      </c>
      <c r="M18" s="65">
        <f t="shared" si="1"/>
        <v>9.9774283865051316</v>
      </c>
    </row>
    <row r="19" spans="1:14" ht="15.75" thickBot="1" x14ac:dyDescent="0.3">
      <c r="A19" s="11" t="s">
        <v>62</v>
      </c>
      <c r="B19" s="58"/>
      <c r="C19" s="22"/>
      <c r="D19" s="22"/>
      <c r="E19" s="22"/>
      <c r="F19" s="22"/>
      <c r="G19" s="23">
        <f>2/0.75</f>
        <v>2.6666666666666665</v>
      </c>
      <c r="H19" s="66">
        <f t="shared" si="1"/>
        <v>2.7666666666666666</v>
      </c>
      <c r="I19" s="66">
        <f t="shared" si="1"/>
        <v>2.8704166666666668</v>
      </c>
      <c r="J19" s="66">
        <f t="shared" si="1"/>
        <v>2.978057291666667</v>
      </c>
      <c r="K19" s="66">
        <f t="shared" si="1"/>
        <v>3.0897344401041673</v>
      </c>
      <c r="L19" s="66">
        <f t="shared" si="1"/>
        <v>3.2055994816080737</v>
      </c>
      <c r="M19" s="67">
        <f t="shared" si="1"/>
        <v>3.3258094621683769</v>
      </c>
    </row>
    <row r="20" spans="1:14" ht="15.75" thickBot="1" x14ac:dyDescent="0.3">
      <c r="A20" s="18" t="s">
        <v>28</v>
      </c>
      <c r="B20" s="68">
        <f t="shared" ref="B20:M20" si="4">+SUM(B9:B19)</f>
        <v>0</v>
      </c>
      <c r="C20" s="69">
        <f t="shared" si="4"/>
        <v>0</v>
      </c>
      <c r="D20" s="69">
        <f t="shared" si="4"/>
        <v>0</v>
      </c>
      <c r="E20" s="69">
        <f t="shared" si="4"/>
        <v>0</v>
      </c>
      <c r="F20" s="69">
        <f t="shared" si="4"/>
        <v>0</v>
      </c>
      <c r="G20" s="26">
        <f t="shared" si="4"/>
        <v>125.56</v>
      </c>
      <c r="H20" s="69">
        <f t="shared" si="4"/>
        <v>130.26850000000002</v>
      </c>
      <c r="I20" s="69">
        <f t="shared" si="4"/>
        <v>135.15356875000003</v>
      </c>
      <c r="J20" s="69">
        <f t="shared" si="4"/>
        <v>140.22182757812502</v>
      </c>
      <c r="K20" s="69">
        <f t="shared" si="4"/>
        <v>145.48014611230474</v>
      </c>
      <c r="L20" s="69">
        <f t="shared" si="4"/>
        <v>150.93565159151615</v>
      </c>
      <c r="M20" s="70">
        <f t="shared" si="4"/>
        <v>156.59573852619803</v>
      </c>
    </row>
    <row r="21" spans="1:14" ht="15.75" thickBot="1" x14ac:dyDescent="0.3">
      <c r="A21" s="11" t="s">
        <v>56</v>
      </c>
      <c r="B21" s="71"/>
      <c r="C21" s="72"/>
      <c r="D21" s="72"/>
      <c r="E21" s="72"/>
      <c r="F21" s="72"/>
      <c r="G21" s="73">
        <f>141.63/0.75</f>
        <v>188.84</v>
      </c>
      <c r="H21" s="72">
        <f t="shared" ref="H21:M21" si="5">+G21*1.03</f>
        <v>194.5052</v>
      </c>
      <c r="I21" s="72">
        <f t="shared" si="5"/>
        <v>200.34035600000001</v>
      </c>
      <c r="J21" s="72">
        <f t="shared" si="5"/>
        <v>206.35056668000001</v>
      </c>
      <c r="K21" s="72">
        <f t="shared" si="5"/>
        <v>212.54108368040002</v>
      </c>
      <c r="L21" s="72">
        <f t="shared" si="5"/>
        <v>218.91731619081202</v>
      </c>
      <c r="M21" s="74">
        <f t="shared" si="5"/>
        <v>225.48483567653639</v>
      </c>
    </row>
    <row r="22" spans="1:14" ht="15.75" thickBot="1" x14ac:dyDescent="0.3">
      <c r="A22" s="18" t="s">
        <v>31</v>
      </c>
      <c r="B22" s="68">
        <f t="shared" ref="B22:C22" si="6">+SUM(B20:B21)</f>
        <v>0</v>
      </c>
      <c r="C22" s="69">
        <f t="shared" si="6"/>
        <v>0</v>
      </c>
      <c r="D22" s="69">
        <f>+SUM(D20:D21)</f>
        <v>0</v>
      </c>
      <c r="E22" s="69">
        <f t="shared" ref="E22:M22" si="7">+SUM(E20:E21)</f>
        <v>0</v>
      </c>
      <c r="F22" s="69">
        <f t="shared" si="7"/>
        <v>0</v>
      </c>
      <c r="G22" s="26">
        <f t="shared" si="7"/>
        <v>314.39999999999998</v>
      </c>
      <c r="H22" s="69">
        <f t="shared" si="7"/>
        <v>324.77370000000002</v>
      </c>
      <c r="I22" s="69">
        <f t="shared" si="7"/>
        <v>335.49392475000002</v>
      </c>
      <c r="J22" s="69">
        <f t="shared" si="7"/>
        <v>346.57239425812503</v>
      </c>
      <c r="K22" s="69">
        <f t="shared" si="7"/>
        <v>358.02122979270473</v>
      </c>
      <c r="L22" s="69">
        <f t="shared" si="7"/>
        <v>369.85296778232816</v>
      </c>
      <c r="M22" s="70">
        <f t="shared" si="7"/>
        <v>382.0805742027344</v>
      </c>
    </row>
    <row r="23" spans="1:14" ht="15.75" thickBot="1" x14ac:dyDescent="0.3">
      <c r="A23" s="21" t="s">
        <v>32</v>
      </c>
      <c r="B23" s="71">
        <f t="shared" ref="B23:M23" si="8">+B22*35.14%</f>
        <v>0</v>
      </c>
      <c r="C23" s="72">
        <f t="shared" si="8"/>
        <v>0</v>
      </c>
      <c r="D23" s="72">
        <f t="shared" si="8"/>
        <v>0</v>
      </c>
      <c r="E23" s="72">
        <f t="shared" si="8"/>
        <v>0</v>
      </c>
      <c r="F23" s="72">
        <f t="shared" si="8"/>
        <v>0</v>
      </c>
      <c r="G23" s="73">
        <f t="shared" si="8"/>
        <v>110.48015999999998</v>
      </c>
      <c r="H23" s="72">
        <f t="shared" si="8"/>
        <v>114.12547818</v>
      </c>
      <c r="I23" s="72">
        <f t="shared" si="8"/>
        <v>117.89256515715</v>
      </c>
      <c r="J23" s="72">
        <f t="shared" si="8"/>
        <v>121.78553934230513</v>
      </c>
      <c r="K23" s="72">
        <f t="shared" si="8"/>
        <v>125.80866014915644</v>
      </c>
      <c r="L23" s="72">
        <f t="shared" si="8"/>
        <v>129.96633287871012</v>
      </c>
      <c r="M23" s="74">
        <f t="shared" si="8"/>
        <v>134.26311377484086</v>
      </c>
    </row>
    <row r="24" spans="1:14" ht="15.75" thickBot="1" x14ac:dyDescent="0.3">
      <c r="A24" s="24" t="s">
        <v>33</v>
      </c>
      <c r="B24" s="68">
        <f t="shared" ref="B24:G24" si="9">+SUM(B22:B23)</f>
        <v>0</v>
      </c>
      <c r="C24" s="69">
        <f t="shared" si="9"/>
        <v>0</v>
      </c>
      <c r="D24" s="69">
        <f t="shared" si="9"/>
        <v>0</v>
      </c>
      <c r="E24" s="69">
        <f t="shared" si="9"/>
        <v>0</v>
      </c>
      <c r="F24" s="69">
        <f>+SUM(F22:F23)</f>
        <v>0</v>
      </c>
      <c r="G24" s="26">
        <f t="shared" si="9"/>
        <v>424.88015999999993</v>
      </c>
      <c r="H24" s="69">
        <f t="shared" ref="H24:M24" si="10">+SUM(H22:H23)</f>
        <v>438.89917818000004</v>
      </c>
      <c r="I24" s="69">
        <f t="shared" si="10"/>
        <v>453.38648990715001</v>
      </c>
      <c r="J24" s="69">
        <f t="shared" si="10"/>
        <v>468.35793360043016</v>
      </c>
      <c r="K24" s="69">
        <f t="shared" si="10"/>
        <v>483.82988994186115</v>
      </c>
      <c r="L24" s="69">
        <f t="shared" si="10"/>
        <v>499.81930066103826</v>
      </c>
      <c r="M24" s="70">
        <f t="shared" si="10"/>
        <v>516.3436879775752</v>
      </c>
      <c r="N24" s="27" t="s">
        <v>34</v>
      </c>
    </row>
    <row r="25" spans="1:14" ht="15.75" thickBot="1" x14ac:dyDescent="0.3">
      <c r="A25" s="24" t="s">
        <v>35</v>
      </c>
      <c r="B25" s="69"/>
      <c r="C25" s="69"/>
      <c r="D25" s="69"/>
      <c r="E25" s="69"/>
      <c r="F25" s="69"/>
      <c r="G25" s="26">
        <f>2/0.75</f>
        <v>2.6666666666666665</v>
      </c>
      <c r="H25" s="69">
        <f t="shared" ref="H25:M25" si="11">G25*(1+$B$1)</f>
        <v>2.7666666666666666</v>
      </c>
      <c r="I25" s="69">
        <f t="shared" si="11"/>
        <v>2.8704166666666668</v>
      </c>
      <c r="J25" s="69">
        <f t="shared" si="11"/>
        <v>2.978057291666667</v>
      </c>
      <c r="K25" s="69">
        <f t="shared" si="11"/>
        <v>3.0897344401041673</v>
      </c>
      <c r="L25" s="69">
        <f t="shared" si="11"/>
        <v>3.2055994816080737</v>
      </c>
      <c r="M25" s="69">
        <f t="shared" si="11"/>
        <v>3.3258094621683769</v>
      </c>
      <c r="N25" s="27"/>
    </row>
    <row r="26" spans="1:14" ht="15.75" thickBot="1" x14ac:dyDescent="0.3"/>
    <row r="27" spans="1:14" ht="16.5" thickBot="1" x14ac:dyDescent="0.3">
      <c r="A27" s="30" t="s">
        <v>37</v>
      </c>
      <c r="B27" s="31">
        <f>+((B24+B25)/$B$3)*100</f>
        <v>0</v>
      </c>
      <c r="C27" s="31">
        <f t="shared" ref="C27:M27" si="12">+((C24+C25)/$B$3)*100</f>
        <v>0</v>
      </c>
      <c r="D27" s="31">
        <f t="shared" si="12"/>
        <v>0</v>
      </c>
      <c r="E27" s="31">
        <f t="shared" si="12"/>
        <v>0</v>
      </c>
      <c r="F27" s="31">
        <f t="shared" si="12"/>
        <v>0</v>
      </c>
      <c r="G27" s="31">
        <f t="shared" si="12"/>
        <v>341.43653303519136</v>
      </c>
      <c r="H27" s="31">
        <f t="shared" si="12"/>
        <v>352.71190292817977</v>
      </c>
      <c r="I27" s="31">
        <f t="shared" si="12"/>
        <v>364.36424418928016</v>
      </c>
      <c r="J27" s="31">
        <f t="shared" si="12"/>
        <v>376.4063175947108</v>
      </c>
      <c r="K27" s="31">
        <f t="shared" si="12"/>
        <v>388.85132118029497</v>
      </c>
      <c r="L27" s="31">
        <f t="shared" si="12"/>
        <v>401.71290540061204</v>
      </c>
      <c r="M27" s="75">
        <f t="shared" si="12"/>
        <v>415.00518881947261</v>
      </c>
      <c r="N27" s="32">
        <f>SUMPRODUCT(B27:M27,B28:M28)/SUM(B28:M28)</f>
        <v>377.21263044967736</v>
      </c>
    </row>
    <row r="28" spans="1:14" ht="15.75" thickBot="1" x14ac:dyDescent="0.3">
      <c r="A28" s="30" t="s">
        <v>38</v>
      </c>
      <c r="B28" s="33"/>
      <c r="C28" s="33"/>
      <c r="D28" s="33"/>
      <c r="E28" s="33"/>
      <c r="F28" s="33"/>
      <c r="G28" s="33">
        <v>60000</v>
      </c>
      <c r="H28" s="33">
        <v>60000</v>
      </c>
      <c r="I28" s="33">
        <v>60000</v>
      </c>
      <c r="J28" s="33">
        <v>60000</v>
      </c>
      <c r="K28" s="33">
        <v>60000</v>
      </c>
      <c r="L28" s="33">
        <v>60000</v>
      </c>
      <c r="M28" s="76">
        <v>60000</v>
      </c>
      <c r="N28" s="34">
        <f>SUM(B28:M28)</f>
        <v>420000</v>
      </c>
    </row>
    <row r="30" spans="1:14" ht="15.75" thickBot="1" x14ac:dyDescent="0.3"/>
    <row r="31" spans="1:14" x14ac:dyDescent="0.25">
      <c r="A31" s="5" t="s">
        <v>39</v>
      </c>
      <c r="B31" s="52">
        <v>44562</v>
      </c>
      <c r="C31" s="6">
        <v>44593</v>
      </c>
      <c r="D31" s="6">
        <v>44621</v>
      </c>
      <c r="E31" s="6">
        <v>44652</v>
      </c>
      <c r="F31" s="6">
        <v>44682</v>
      </c>
      <c r="G31" s="6">
        <v>44713</v>
      </c>
      <c r="H31" s="6">
        <v>44743</v>
      </c>
      <c r="I31" s="6">
        <v>44774</v>
      </c>
      <c r="J31" s="6">
        <v>44805</v>
      </c>
      <c r="K31" s="6">
        <v>44835</v>
      </c>
      <c r="L31" s="6">
        <v>44866</v>
      </c>
      <c r="M31" s="7">
        <v>44896</v>
      </c>
    </row>
    <row r="32" spans="1:14" ht="15.75" thickBot="1" x14ac:dyDescent="0.3">
      <c r="A32" s="8" t="s">
        <v>4</v>
      </c>
      <c r="B32" s="53" t="s">
        <v>5</v>
      </c>
      <c r="C32" s="54" t="str">
        <f>B32</f>
        <v>0,75 X 6</v>
      </c>
      <c r="D32" s="54" t="str">
        <f t="shared" ref="D32:M32" si="13">C32</f>
        <v>0,75 X 6</v>
      </c>
      <c r="E32" s="54" t="str">
        <f t="shared" si="13"/>
        <v>0,75 X 6</v>
      </c>
      <c r="F32" s="54" t="str">
        <f t="shared" si="13"/>
        <v>0,75 X 6</v>
      </c>
      <c r="G32" s="54" t="str">
        <f t="shared" si="13"/>
        <v>0,75 X 6</v>
      </c>
      <c r="H32" s="54" t="str">
        <f t="shared" si="13"/>
        <v>0,75 X 6</v>
      </c>
      <c r="I32" s="54" t="str">
        <f t="shared" si="13"/>
        <v>0,75 X 6</v>
      </c>
      <c r="J32" s="54" t="str">
        <f t="shared" si="13"/>
        <v>0,75 X 6</v>
      </c>
      <c r="K32" s="54" t="str">
        <f t="shared" si="13"/>
        <v>0,75 X 6</v>
      </c>
      <c r="L32" s="54" t="str">
        <f t="shared" si="13"/>
        <v>0,75 X 6</v>
      </c>
      <c r="M32" s="55" t="str">
        <f t="shared" si="13"/>
        <v>0,75 X 6</v>
      </c>
    </row>
    <row r="33" spans="1:17" x14ac:dyDescent="0.25">
      <c r="A33" s="16" t="s">
        <v>18</v>
      </c>
      <c r="B33" s="77"/>
      <c r="C33" s="62"/>
      <c r="D33" s="62"/>
      <c r="E33" s="62"/>
      <c r="F33" s="62"/>
      <c r="G33" s="61">
        <f>80.5934843714634/0.75</f>
        <v>107.4579791619512</v>
      </c>
      <c r="H33" s="62">
        <f t="shared" ref="H33:M36" si="14">G33*(1+$B$1)</f>
        <v>111.48765338052438</v>
      </c>
      <c r="I33" s="62">
        <f t="shared" si="14"/>
        <v>115.66844038229405</v>
      </c>
      <c r="J33" s="62">
        <f t="shared" si="14"/>
        <v>120.00600689663008</v>
      </c>
      <c r="K33" s="62">
        <f t="shared" si="14"/>
        <v>124.50623215525373</v>
      </c>
      <c r="L33" s="62">
        <f t="shared" si="14"/>
        <v>129.17521586107574</v>
      </c>
      <c r="M33" s="63">
        <f t="shared" si="14"/>
        <v>134.01928645586608</v>
      </c>
    </row>
    <row r="34" spans="1:17" x14ac:dyDescent="0.25">
      <c r="A34" s="11" t="s">
        <v>63</v>
      </c>
      <c r="B34" s="78"/>
      <c r="C34" s="64"/>
      <c r="D34" s="64"/>
      <c r="E34" s="64"/>
      <c r="F34" s="64"/>
      <c r="G34" s="14">
        <f>79.1357592/0.75</f>
        <v>105.5143456</v>
      </c>
      <c r="H34" s="64">
        <f t="shared" si="14"/>
        <v>109.47113356000001</v>
      </c>
      <c r="I34" s="64">
        <f t="shared" si="14"/>
        <v>113.57630106850003</v>
      </c>
      <c r="J34" s="64">
        <f t="shared" si="14"/>
        <v>117.83541235856879</v>
      </c>
      <c r="K34" s="64">
        <f t="shared" si="14"/>
        <v>122.25424032201514</v>
      </c>
      <c r="L34" s="64">
        <f t="shared" si="14"/>
        <v>126.83877433409072</v>
      </c>
      <c r="M34" s="65">
        <f t="shared" si="14"/>
        <v>131.59522837161913</v>
      </c>
    </row>
    <row r="35" spans="1:17" x14ac:dyDescent="0.25">
      <c r="A35" s="11" t="s">
        <v>64</v>
      </c>
      <c r="B35" s="78"/>
      <c r="C35" s="64"/>
      <c r="D35" s="64"/>
      <c r="E35" s="64"/>
      <c r="F35" s="64"/>
      <c r="G35" s="14">
        <f>6/0.75</f>
        <v>8</v>
      </c>
      <c r="H35" s="64">
        <v>0</v>
      </c>
      <c r="I35" s="64">
        <f t="shared" si="14"/>
        <v>0</v>
      </c>
      <c r="J35" s="64">
        <v>0</v>
      </c>
      <c r="K35" s="64">
        <v>0</v>
      </c>
      <c r="L35" s="64">
        <v>0</v>
      </c>
      <c r="M35" s="65">
        <v>0</v>
      </c>
      <c r="O35" s="79">
        <f>34.77/0.75</f>
        <v>46.360000000000007</v>
      </c>
    </row>
    <row r="36" spans="1:17" ht="15.75" thickBot="1" x14ac:dyDescent="0.3">
      <c r="A36" s="11" t="s">
        <v>65</v>
      </c>
      <c r="B36" s="80"/>
      <c r="C36" s="66"/>
      <c r="D36" s="66"/>
      <c r="E36" s="66"/>
      <c r="F36" s="66"/>
      <c r="G36" s="23">
        <f>29.38/0.75</f>
        <v>39.173333333333332</v>
      </c>
      <c r="H36" s="66">
        <f t="shared" si="14"/>
        <v>40.642333333333333</v>
      </c>
      <c r="I36" s="66">
        <f t="shared" si="14"/>
        <v>42.166420833333333</v>
      </c>
      <c r="J36" s="66">
        <f t="shared" si="14"/>
        <v>43.747661614583336</v>
      </c>
      <c r="K36" s="66">
        <f t="shared" si="14"/>
        <v>45.388198925130212</v>
      </c>
      <c r="L36" s="66">
        <f t="shared" si="14"/>
        <v>47.090256384822595</v>
      </c>
      <c r="M36" s="67">
        <f t="shared" si="14"/>
        <v>48.856140999253448</v>
      </c>
    </row>
    <row r="37" spans="1:17" ht="15.75" thickBot="1" x14ac:dyDescent="0.3">
      <c r="A37" s="18" t="s">
        <v>28</v>
      </c>
      <c r="B37" s="68">
        <f t="shared" ref="B37:M37" si="15">+SUM(B33:B36)</f>
        <v>0</v>
      </c>
      <c r="C37" s="69">
        <f t="shared" si="15"/>
        <v>0</v>
      </c>
      <c r="D37" s="69">
        <f t="shared" si="15"/>
        <v>0</v>
      </c>
      <c r="E37" s="69">
        <f t="shared" si="15"/>
        <v>0</v>
      </c>
      <c r="F37" s="69">
        <f t="shared" si="15"/>
        <v>0</v>
      </c>
      <c r="G37" s="26">
        <f t="shared" si="15"/>
        <v>260.14565809528455</v>
      </c>
      <c r="H37" s="69">
        <f t="shared" si="15"/>
        <v>261.6011202738577</v>
      </c>
      <c r="I37" s="69">
        <f t="shared" si="15"/>
        <v>271.41116228412744</v>
      </c>
      <c r="J37" s="69">
        <f t="shared" si="15"/>
        <v>281.58908086978221</v>
      </c>
      <c r="K37" s="69">
        <f t="shared" si="15"/>
        <v>292.14867140239909</v>
      </c>
      <c r="L37" s="69">
        <f t="shared" si="15"/>
        <v>303.10424657998908</v>
      </c>
      <c r="M37" s="70">
        <f t="shared" si="15"/>
        <v>314.47065582673866</v>
      </c>
    </row>
    <row r="38" spans="1:17" ht="15.75" thickBot="1" x14ac:dyDescent="0.3">
      <c r="A38" s="11" t="s">
        <v>56</v>
      </c>
      <c r="B38" s="71"/>
      <c r="C38" s="72"/>
      <c r="D38" s="72"/>
      <c r="E38" s="72"/>
      <c r="F38" s="72"/>
      <c r="G38" s="73">
        <f>50/0.75</f>
        <v>66.666666666666671</v>
      </c>
      <c r="H38" s="72">
        <f t="shared" ref="H38:M38" si="16">+G38*1.03</f>
        <v>68.666666666666671</v>
      </c>
      <c r="I38" s="72">
        <f t="shared" si="16"/>
        <v>70.726666666666674</v>
      </c>
      <c r="J38" s="72">
        <f t="shared" si="16"/>
        <v>72.848466666666681</v>
      </c>
      <c r="K38" s="72">
        <f t="shared" si="16"/>
        <v>75.033920666666688</v>
      </c>
      <c r="L38" s="72">
        <f t="shared" si="16"/>
        <v>77.284938286666687</v>
      </c>
      <c r="M38" s="74">
        <f t="shared" si="16"/>
        <v>79.603486435266689</v>
      </c>
      <c r="P38" s="45">
        <f>450/1600</f>
        <v>0.28125</v>
      </c>
      <c r="Q38">
        <f>+P38*N44</f>
        <v>99.796547604957979</v>
      </c>
    </row>
    <row r="39" spans="1:17" ht="15.75" thickBot="1" x14ac:dyDescent="0.3">
      <c r="A39" s="18" t="s">
        <v>31</v>
      </c>
      <c r="B39" s="68">
        <f t="shared" ref="B39" si="17">+SUM(B37:B38)</f>
        <v>0</v>
      </c>
      <c r="C39" s="69">
        <f t="shared" ref="C39" si="18">+SUM(C37:C38)</f>
        <v>0</v>
      </c>
      <c r="D39" s="69">
        <f t="shared" ref="D39:M39" si="19">+SUM(D37:D38)</f>
        <v>0</v>
      </c>
      <c r="E39" s="69">
        <f t="shared" si="19"/>
        <v>0</v>
      </c>
      <c r="F39" s="69">
        <f t="shared" si="19"/>
        <v>0</v>
      </c>
      <c r="G39" s="26">
        <f t="shared" si="19"/>
        <v>326.81232476195123</v>
      </c>
      <c r="H39" s="69">
        <f t="shared" si="19"/>
        <v>330.26778694052439</v>
      </c>
      <c r="I39" s="69">
        <f t="shared" si="19"/>
        <v>342.13782895079413</v>
      </c>
      <c r="J39" s="69">
        <f t="shared" si="19"/>
        <v>354.4375475364489</v>
      </c>
      <c r="K39" s="69">
        <f t="shared" si="19"/>
        <v>367.18259206906578</v>
      </c>
      <c r="L39" s="69">
        <f t="shared" si="19"/>
        <v>380.3891848666558</v>
      </c>
      <c r="M39" s="70">
        <f t="shared" si="19"/>
        <v>394.07414226200535</v>
      </c>
      <c r="P39" s="46">
        <f>100%-P38</f>
        <v>0.71875</v>
      </c>
      <c r="Q39">
        <f>+P39*N27</f>
        <v>271.12157813570559</v>
      </c>
    </row>
    <row r="40" spans="1:17" ht="15.75" thickBot="1" x14ac:dyDescent="0.3">
      <c r="A40" s="21" t="s">
        <v>32</v>
      </c>
      <c r="B40" s="71">
        <f t="shared" ref="B40:M40" si="20">+B39*35.14%</f>
        <v>0</v>
      </c>
      <c r="C40" s="72">
        <f t="shared" si="20"/>
        <v>0</v>
      </c>
      <c r="D40" s="72">
        <f t="shared" si="20"/>
        <v>0</v>
      </c>
      <c r="E40" s="72">
        <f t="shared" si="20"/>
        <v>0</v>
      </c>
      <c r="F40" s="72">
        <f t="shared" si="20"/>
        <v>0</v>
      </c>
      <c r="G40" s="73">
        <f t="shared" si="20"/>
        <v>114.84185092134966</v>
      </c>
      <c r="H40" s="72">
        <f t="shared" si="20"/>
        <v>116.05610033090026</v>
      </c>
      <c r="I40" s="72">
        <f t="shared" si="20"/>
        <v>120.22723309330905</v>
      </c>
      <c r="J40" s="72">
        <f t="shared" si="20"/>
        <v>124.54935420430814</v>
      </c>
      <c r="K40" s="72">
        <f t="shared" si="20"/>
        <v>129.02796285306971</v>
      </c>
      <c r="L40" s="72">
        <f t="shared" si="20"/>
        <v>133.66875956214284</v>
      </c>
      <c r="M40" s="74">
        <f t="shared" si="20"/>
        <v>138.47765359086867</v>
      </c>
      <c r="P40" t="s">
        <v>66</v>
      </c>
      <c r="Q40">
        <f>+Q39+Q38</f>
        <v>370.91812574066358</v>
      </c>
    </row>
    <row r="41" spans="1:17" ht="15.75" thickBot="1" x14ac:dyDescent="0.3">
      <c r="A41" s="24" t="s">
        <v>33</v>
      </c>
      <c r="B41" s="68">
        <f t="shared" ref="B41:E41" si="21">+SUM(B39:B40)</f>
        <v>0</v>
      </c>
      <c r="C41" s="69">
        <f t="shared" si="21"/>
        <v>0</v>
      </c>
      <c r="D41" s="69">
        <f t="shared" si="21"/>
        <v>0</v>
      </c>
      <c r="E41" s="69">
        <f t="shared" si="21"/>
        <v>0</v>
      </c>
      <c r="F41" s="69">
        <f>+SUM(F39:F40)</f>
        <v>0</v>
      </c>
      <c r="G41" s="26">
        <f t="shared" ref="G41:M41" si="22">+SUM(G39:G40)</f>
        <v>441.65417568330088</v>
      </c>
      <c r="H41" s="69">
        <f t="shared" si="22"/>
        <v>446.32388727142467</v>
      </c>
      <c r="I41" s="69">
        <f t="shared" si="22"/>
        <v>462.36506204410318</v>
      </c>
      <c r="J41" s="69">
        <f t="shared" si="22"/>
        <v>478.98690174075705</v>
      </c>
      <c r="K41" s="69">
        <f t="shared" si="22"/>
        <v>496.21055492213549</v>
      </c>
      <c r="L41" s="69">
        <f t="shared" si="22"/>
        <v>514.05794442879869</v>
      </c>
      <c r="M41" s="70">
        <f t="shared" si="22"/>
        <v>532.55179585287397</v>
      </c>
      <c r="N41" s="27" t="s">
        <v>34</v>
      </c>
    </row>
    <row r="42" spans="1:17" ht="15.75" thickBot="1" x14ac:dyDescent="0.3">
      <c r="A42" s="24" t="s">
        <v>50</v>
      </c>
      <c r="B42" s="81"/>
      <c r="C42" s="25"/>
      <c r="D42" s="25"/>
      <c r="E42" s="25"/>
      <c r="F42" s="25"/>
      <c r="G42" s="26">
        <f>2/0.75</f>
        <v>2.6666666666666665</v>
      </c>
      <c r="H42" s="69">
        <f t="shared" ref="H42:M42" si="23">G42*(1+$B$1)</f>
        <v>2.7666666666666666</v>
      </c>
      <c r="I42" s="69">
        <f t="shared" si="23"/>
        <v>2.8704166666666668</v>
      </c>
      <c r="J42" s="69">
        <f t="shared" si="23"/>
        <v>2.978057291666667</v>
      </c>
      <c r="K42" s="69">
        <f t="shared" si="23"/>
        <v>3.0897344401041673</v>
      </c>
      <c r="L42" s="69">
        <f t="shared" si="23"/>
        <v>3.2055994816080737</v>
      </c>
      <c r="M42" s="70">
        <f t="shared" si="23"/>
        <v>3.3258094621683769</v>
      </c>
      <c r="N42" s="27"/>
    </row>
    <row r="43" spans="1:17" ht="15.75" thickBot="1" x14ac:dyDescent="0.3"/>
    <row r="44" spans="1:17" ht="16.5" thickBot="1" x14ac:dyDescent="0.3">
      <c r="A44" s="30" t="s">
        <v>37</v>
      </c>
      <c r="B44" s="82">
        <f>+((B41+B42)/$B$3)*100</f>
        <v>0</v>
      </c>
      <c r="C44" s="82">
        <f t="shared" ref="C44:M44" si="24">+((C41+C42)/$B$3)*100</f>
        <v>0</v>
      </c>
      <c r="D44" s="82">
        <f t="shared" si="24"/>
        <v>0</v>
      </c>
      <c r="E44" s="82">
        <f t="shared" si="24"/>
        <v>0</v>
      </c>
      <c r="F44" s="82">
        <f t="shared" si="24"/>
        <v>0</v>
      </c>
      <c r="G44" s="31">
        <f t="shared" si="24"/>
        <v>354.8321692620728</v>
      </c>
      <c r="H44" s="82">
        <f t="shared" si="24"/>
        <v>358.6412345776165</v>
      </c>
      <c r="I44" s="82">
        <f t="shared" si="24"/>
        <v>371.5344822798034</v>
      </c>
      <c r="J44" s="82">
        <f t="shared" si="24"/>
        <v>384.89455281298814</v>
      </c>
      <c r="K44" s="82">
        <f t="shared" si="24"/>
        <v>398.73845181459802</v>
      </c>
      <c r="L44" s="82">
        <f t="shared" si="24"/>
        <v>413.083807626902</v>
      </c>
      <c r="M44" s="83">
        <f t="shared" si="24"/>
        <v>427.948894198245</v>
      </c>
      <c r="N44" s="32">
        <f>+G44</f>
        <v>354.8321692620728</v>
      </c>
      <c r="O44" s="49">
        <f>E41*0.75</f>
        <v>0</v>
      </c>
    </row>
    <row r="45" spans="1:17" ht="15.75" thickBot="1" x14ac:dyDescent="0.3">
      <c r="A45" s="30" t="s">
        <v>38</v>
      </c>
      <c r="B45" s="84"/>
      <c r="C45" s="84"/>
      <c r="D45" s="84"/>
      <c r="E45" s="84"/>
      <c r="F45" s="84"/>
      <c r="G45" s="33">
        <v>60000</v>
      </c>
      <c r="H45" s="84"/>
      <c r="I45" s="84"/>
      <c r="J45" s="84"/>
      <c r="K45" s="84"/>
      <c r="L45" s="84"/>
      <c r="M45" s="85"/>
      <c r="N45" s="34">
        <f>SUM(B45:M45)</f>
        <v>60000</v>
      </c>
    </row>
    <row r="46" spans="1:17" ht="15.75" thickBot="1" x14ac:dyDescent="0.3"/>
    <row r="47" spans="1:17" ht="15.75" thickBot="1" x14ac:dyDescent="0.3">
      <c r="A47" s="5" t="s">
        <v>39</v>
      </c>
      <c r="B47" s="86">
        <v>44562</v>
      </c>
      <c r="C47" s="86">
        <v>44593</v>
      </c>
      <c r="D47" s="86">
        <v>44621</v>
      </c>
      <c r="E47" s="86">
        <v>44652</v>
      </c>
      <c r="F47" s="86">
        <v>44682</v>
      </c>
      <c r="G47" s="86">
        <v>44713</v>
      </c>
      <c r="H47" s="86">
        <v>44743</v>
      </c>
      <c r="I47" s="86">
        <v>44774</v>
      </c>
      <c r="J47" s="86">
        <v>44805</v>
      </c>
      <c r="K47" s="86">
        <v>44835</v>
      </c>
      <c r="L47" s="86">
        <v>44866</v>
      </c>
      <c r="M47" s="87">
        <v>44896</v>
      </c>
    </row>
    <row r="48" spans="1:17" ht="15.75" thickBot="1" x14ac:dyDescent="0.3">
      <c r="A48" s="8" t="s">
        <v>4</v>
      </c>
      <c r="B48" s="88" t="s">
        <v>67</v>
      </c>
      <c r="C48" s="89" t="str">
        <f>B48</f>
        <v>BIB</v>
      </c>
      <c r="D48" s="89" t="str">
        <f t="shared" ref="D48:M48" si="25">C48</f>
        <v>BIB</v>
      </c>
      <c r="E48" s="89" t="str">
        <f t="shared" si="25"/>
        <v>BIB</v>
      </c>
      <c r="F48" s="89" t="str">
        <f t="shared" si="25"/>
        <v>BIB</v>
      </c>
      <c r="G48" s="89" t="str">
        <f t="shared" si="25"/>
        <v>BIB</v>
      </c>
      <c r="H48" s="89" t="str">
        <f t="shared" si="25"/>
        <v>BIB</v>
      </c>
      <c r="I48" s="89" t="str">
        <f t="shared" si="25"/>
        <v>BIB</v>
      </c>
      <c r="J48" s="89" t="str">
        <f t="shared" si="25"/>
        <v>BIB</v>
      </c>
      <c r="K48" s="89" t="str">
        <f t="shared" si="25"/>
        <v>BIB</v>
      </c>
      <c r="L48" s="89" t="str">
        <f t="shared" si="25"/>
        <v>BIB</v>
      </c>
      <c r="M48" s="90" t="str">
        <f t="shared" si="25"/>
        <v>BIB</v>
      </c>
      <c r="O48">
        <f>N28*0.7/100</f>
        <v>2940</v>
      </c>
    </row>
    <row r="49" spans="1:13" x14ac:dyDescent="0.25">
      <c r="A49" s="11" t="s">
        <v>6</v>
      </c>
      <c r="B49" s="91">
        <v>0.38</v>
      </c>
      <c r="C49" s="62">
        <f t="shared" ref="C49:M55" si="26">B49*(1+$B$1)</f>
        <v>0.39425000000000004</v>
      </c>
      <c r="D49" s="62">
        <f t="shared" si="26"/>
        <v>0.40903437500000006</v>
      </c>
      <c r="E49" s="62">
        <f t="shared" si="26"/>
        <v>0.42437316406250009</v>
      </c>
      <c r="F49" s="62">
        <f t="shared" si="26"/>
        <v>0.44028715771484389</v>
      </c>
      <c r="G49" s="62">
        <f t="shared" si="26"/>
        <v>0.4567979261291506</v>
      </c>
      <c r="H49" s="62">
        <f t="shared" si="26"/>
        <v>0.47392784835899376</v>
      </c>
      <c r="I49" s="62">
        <f t="shared" si="26"/>
        <v>0.4917001426724561</v>
      </c>
      <c r="J49" s="62">
        <f t="shared" si="26"/>
        <v>0.5101388980226732</v>
      </c>
      <c r="K49" s="62">
        <f t="shared" si="26"/>
        <v>0.52926910669852345</v>
      </c>
      <c r="L49" s="62">
        <f t="shared" si="26"/>
        <v>0.54911669819971809</v>
      </c>
      <c r="M49" s="63">
        <f t="shared" si="26"/>
        <v>0.56970857438220757</v>
      </c>
    </row>
    <row r="50" spans="1:13" x14ac:dyDescent="0.25">
      <c r="A50" s="11" t="s">
        <v>7</v>
      </c>
      <c r="B50" s="92">
        <v>0.17</v>
      </c>
      <c r="C50" s="64">
        <f t="shared" si="26"/>
        <v>0.17637500000000003</v>
      </c>
      <c r="D50" s="64">
        <f t="shared" si="26"/>
        <v>0.18298906250000005</v>
      </c>
      <c r="E50" s="64">
        <f t="shared" si="26"/>
        <v>0.18985115234375008</v>
      </c>
      <c r="F50" s="64">
        <f t="shared" si="26"/>
        <v>0.19697057055664072</v>
      </c>
      <c r="G50" s="64">
        <f t="shared" si="26"/>
        <v>0.20435696695251476</v>
      </c>
      <c r="H50" s="64">
        <f t="shared" si="26"/>
        <v>0.21202035321323409</v>
      </c>
      <c r="I50" s="64">
        <f t="shared" si="26"/>
        <v>0.21997111645873038</v>
      </c>
      <c r="J50" s="64">
        <f t="shared" si="26"/>
        <v>0.2282200333259328</v>
      </c>
      <c r="K50" s="64">
        <f t="shared" si="26"/>
        <v>0.23677828457565531</v>
      </c>
      <c r="L50" s="64">
        <f t="shared" si="26"/>
        <v>0.24565747024724241</v>
      </c>
      <c r="M50" s="65">
        <f t="shared" si="26"/>
        <v>0.25486962538151403</v>
      </c>
    </row>
    <row r="51" spans="1:13" x14ac:dyDescent="0.25">
      <c r="A51" s="11" t="s">
        <v>10</v>
      </c>
      <c r="B51" s="92">
        <v>47.35</v>
      </c>
      <c r="C51" s="64">
        <f t="shared" si="26"/>
        <v>49.125625000000007</v>
      </c>
      <c r="D51" s="64">
        <f t="shared" si="26"/>
        <v>50.967835937500013</v>
      </c>
      <c r="E51" s="64">
        <f t="shared" si="26"/>
        <v>52.879129785156266</v>
      </c>
      <c r="F51" s="64">
        <f t="shared" si="26"/>
        <v>54.862097152099629</v>
      </c>
      <c r="G51" s="64">
        <f t="shared" si="26"/>
        <v>56.919425795303368</v>
      </c>
      <c r="H51" s="64">
        <f t="shared" si="26"/>
        <v>59.053904262627249</v>
      </c>
      <c r="I51" s="64">
        <f t="shared" si="26"/>
        <v>61.268425672475779</v>
      </c>
      <c r="J51" s="64">
        <f t="shared" si="26"/>
        <v>63.565991635193626</v>
      </c>
      <c r="K51" s="64">
        <f t="shared" si="26"/>
        <v>65.949716321513392</v>
      </c>
      <c r="L51" s="64">
        <f t="shared" si="26"/>
        <v>68.422830683570155</v>
      </c>
      <c r="M51" s="65">
        <f t="shared" si="26"/>
        <v>70.988686834204046</v>
      </c>
    </row>
    <row r="52" spans="1:13" x14ac:dyDescent="0.25">
      <c r="A52" s="11" t="s">
        <v>67</v>
      </c>
      <c r="B52" s="92">
        <v>10</v>
      </c>
      <c r="C52" s="64">
        <f t="shared" si="26"/>
        <v>10.375</v>
      </c>
      <c r="D52" s="64">
        <f t="shared" si="26"/>
        <v>10.764062500000001</v>
      </c>
      <c r="E52" s="64">
        <f t="shared" si="26"/>
        <v>11.167714843750002</v>
      </c>
      <c r="F52" s="64">
        <f t="shared" si="26"/>
        <v>11.586504150390628</v>
      </c>
      <c r="G52" s="64">
        <f t="shared" si="26"/>
        <v>12.020998056030278</v>
      </c>
      <c r="H52" s="64">
        <f t="shared" si="26"/>
        <v>12.471785483131415</v>
      </c>
      <c r="I52" s="64">
        <f t="shared" si="26"/>
        <v>12.939477438748844</v>
      </c>
      <c r="J52" s="64">
        <f t="shared" si="26"/>
        <v>13.424707842701926</v>
      </c>
      <c r="K52" s="64">
        <f t="shared" si="26"/>
        <v>13.928134386803249</v>
      </c>
      <c r="L52" s="64">
        <f t="shared" si="26"/>
        <v>14.450439426308373</v>
      </c>
      <c r="M52" s="65">
        <f t="shared" si="26"/>
        <v>14.992330904794938</v>
      </c>
    </row>
    <row r="53" spans="1:13" x14ac:dyDescent="0.25">
      <c r="A53" s="11" t="s">
        <v>60</v>
      </c>
      <c r="B53" s="92">
        <v>25</v>
      </c>
      <c r="C53" s="64">
        <f t="shared" si="26"/>
        <v>25.937500000000004</v>
      </c>
      <c r="D53" s="64">
        <f t="shared" si="26"/>
        <v>26.910156250000007</v>
      </c>
      <c r="E53" s="64">
        <f t="shared" si="26"/>
        <v>27.919287109375009</v>
      </c>
      <c r="F53" s="64">
        <f t="shared" si="26"/>
        <v>28.966260375976574</v>
      </c>
      <c r="G53" s="64">
        <f t="shared" si="26"/>
        <v>30.052495140075699</v>
      </c>
      <c r="H53" s="64">
        <f t="shared" si="26"/>
        <v>31.179463707828539</v>
      </c>
      <c r="I53" s="64">
        <f t="shared" si="26"/>
        <v>32.34869359687211</v>
      </c>
      <c r="J53" s="64">
        <f t="shared" si="26"/>
        <v>33.561769606754815</v>
      </c>
      <c r="K53" s="64">
        <f t="shared" si="26"/>
        <v>34.820335967008127</v>
      </c>
      <c r="L53" s="64">
        <f t="shared" si="26"/>
        <v>36.126098565770931</v>
      </c>
      <c r="M53" s="65">
        <f t="shared" si="26"/>
        <v>37.480827261987343</v>
      </c>
    </row>
    <row r="54" spans="1:13" x14ac:dyDescent="0.25">
      <c r="A54" s="11" t="s">
        <v>11</v>
      </c>
      <c r="B54" s="92">
        <v>0.26</v>
      </c>
      <c r="C54" s="64">
        <f t="shared" si="26"/>
        <v>0.26975000000000005</v>
      </c>
      <c r="D54" s="64">
        <f t="shared" si="26"/>
        <v>0.27986562500000006</v>
      </c>
      <c r="E54" s="64">
        <f t="shared" si="26"/>
        <v>0.29036058593750008</v>
      </c>
      <c r="F54" s="64">
        <f t="shared" si="26"/>
        <v>0.30124910791015636</v>
      </c>
      <c r="G54" s="64">
        <f t="shared" si="26"/>
        <v>0.31254594945678726</v>
      </c>
      <c r="H54" s="64">
        <f t="shared" si="26"/>
        <v>0.3242664225614168</v>
      </c>
      <c r="I54" s="64">
        <f t="shared" si="26"/>
        <v>0.33642641340746998</v>
      </c>
      <c r="J54" s="64">
        <f t="shared" si="26"/>
        <v>0.34904240391025015</v>
      </c>
      <c r="K54" s="64">
        <f t="shared" si="26"/>
        <v>0.36213149405688455</v>
      </c>
      <c r="L54" s="64">
        <f t="shared" si="26"/>
        <v>0.37571142508401778</v>
      </c>
      <c r="M54" s="65">
        <f t="shared" si="26"/>
        <v>0.3898006035246685</v>
      </c>
    </row>
    <row r="55" spans="1:13" x14ac:dyDescent="0.25">
      <c r="A55" s="11" t="s">
        <v>14</v>
      </c>
      <c r="B55" s="92">
        <v>1.29</v>
      </c>
      <c r="C55" s="64">
        <f t="shared" si="26"/>
        <v>1.3383750000000001</v>
      </c>
      <c r="D55" s="64">
        <f t="shared" si="26"/>
        <v>1.3885640625000002</v>
      </c>
      <c r="E55" s="64">
        <f t="shared" si="26"/>
        <v>1.4406352148437502</v>
      </c>
      <c r="F55" s="64">
        <f t="shared" si="26"/>
        <v>1.494659035400391</v>
      </c>
      <c r="G55" s="64">
        <f t="shared" si="26"/>
        <v>1.5507087492279059</v>
      </c>
      <c r="H55" s="64">
        <f t="shared" si="26"/>
        <v>1.6088603273239526</v>
      </c>
      <c r="I55" s="64">
        <f t="shared" si="26"/>
        <v>1.6691925895986008</v>
      </c>
      <c r="J55" s="64">
        <f t="shared" si="26"/>
        <v>1.7317873117085485</v>
      </c>
      <c r="K55" s="64">
        <f t="shared" si="26"/>
        <v>1.7967293358976193</v>
      </c>
      <c r="L55" s="64">
        <f t="shared" si="26"/>
        <v>1.8641066859937803</v>
      </c>
      <c r="M55" s="65">
        <f t="shared" si="26"/>
        <v>1.9340106867185471</v>
      </c>
    </row>
    <row r="56" spans="1:13" x14ac:dyDescent="0.25">
      <c r="A56" s="11" t="s">
        <v>58</v>
      </c>
      <c r="B56" s="92">
        <v>24.37</v>
      </c>
      <c r="C56" s="64">
        <f>B56*(1+$E$3)</f>
        <v>24.817733430799223</v>
      </c>
      <c r="D56" s="64">
        <f t="shared" ref="D56:M56" si="27">C56*(1+$E$3)</f>
        <v>25.273692763324139</v>
      </c>
      <c r="E56" s="64">
        <f t="shared" si="27"/>
        <v>25.73802912647098</v>
      </c>
      <c r="F56" s="64">
        <f t="shared" si="27"/>
        <v>26.210896425724371</v>
      </c>
      <c r="G56" s="64">
        <f t="shared" si="27"/>
        <v>26.692451394169698</v>
      </c>
      <c r="H56" s="64">
        <f t="shared" si="27"/>
        <v>27.182853644442698</v>
      </c>
      <c r="I56" s="64">
        <f t="shared" si="27"/>
        <v>27.682265721633481</v>
      </c>
      <c r="J56" s="64">
        <f t="shared" si="27"/>
        <v>28.190853157162518</v>
      </c>
      <c r="K56" s="64">
        <f t="shared" si="27"/>
        <v>28.70878452364645</v>
      </c>
      <c r="L56" s="64">
        <f t="shared" si="27"/>
        <v>29.236231490771925</v>
      </c>
      <c r="M56" s="65">
        <f t="shared" si="27"/>
        <v>29.77336888219595</v>
      </c>
    </row>
    <row r="57" spans="1:13" x14ac:dyDescent="0.25">
      <c r="A57" s="11" t="s">
        <v>68</v>
      </c>
      <c r="B57" s="92">
        <v>5</v>
      </c>
      <c r="C57" s="64">
        <f t="shared" ref="C57:M59" si="28">B57*(1+$B$1)</f>
        <v>5.1875</v>
      </c>
      <c r="D57" s="64">
        <f t="shared" si="28"/>
        <v>5.3820312500000007</v>
      </c>
      <c r="E57" s="64">
        <f t="shared" si="28"/>
        <v>5.5838574218750008</v>
      </c>
      <c r="F57" s="64">
        <f t="shared" si="28"/>
        <v>5.7932520751953138</v>
      </c>
      <c r="G57" s="64">
        <f t="shared" si="28"/>
        <v>6.0104990280151389</v>
      </c>
      <c r="H57" s="64">
        <f t="shared" si="28"/>
        <v>6.2358927415657073</v>
      </c>
      <c r="I57" s="64">
        <f t="shared" si="28"/>
        <v>6.4697387193744218</v>
      </c>
      <c r="J57" s="64">
        <f t="shared" si="28"/>
        <v>6.7123539213509629</v>
      </c>
      <c r="K57" s="64">
        <f t="shared" si="28"/>
        <v>6.9640671934016245</v>
      </c>
      <c r="L57" s="64">
        <f t="shared" si="28"/>
        <v>7.2252197131541864</v>
      </c>
      <c r="M57" s="65">
        <f t="shared" si="28"/>
        <v>7.4961654523974692</v>
      </c>
    </row>
    <row r="58" spans="1:13" x14ac:dyDescent="0.25">
      <c r="A58" s="11" t="s">
        <v>23</v>
      </c>
      <c r="B58" s="92">
        <v>2.2599999999999998</v>
      </c>
      <c r="C58" s="64">
        <f t="shared" si="28"/>
        <v>2.3447499999999999</v>
      </c>
      <c r="D58" s="64">
        <f t="shared" si="28"/>
        <v>2.4326781250000002</v>
      </c>
      <c r="E58" s="64">
        <f t="shared" si="28"/>
        <v>2.5239035546875006</v>
      </c>
      <c r="F58" s="64">
        <f t="shared" si="28"/>
        <v>2.618549937988282</v>
      </c>
      <c r="G58" s="64">
        <f t="shared" si="28"/>
        <v>2.7167455606628428</v>
      </c>
      <c r="H58" s="64">
        <f t="shared" si="28"/>
        <v>2.8186235191876996</v>
      </c>
      <c r="I58" s="64">
        <f t="shared" si="28"/>
        <v>2.9243219011572386</v>
      </c>
      <c r="J58" s="64">
        <f t="shared" si="28"/>
        <v>3.0339839724506352</v>
      </c>
      <c r="K58" s="64">
        <f t="shared" si="28"/>
        <v>3.1477583714175341</v>
      </c>
      <c r="L58" s="64">
        <f t="shared" si="28"/>
        <v>3.2657993103456917</v>
      </c>
      <c r="M58" s="65">
        <f t="shared" si="28"/>
        <v>3.3882667844836556</v>
      </c>
    </row>
    <row r="59" spans="1:13" ht="15.75" thickBot="1" x14ac:dyDescent="0.3">
      <c r="A59" s="11" t="s">
        <v>27</v>
      </c>
      <c r="B59" s="93">
        <v>5.8915999999999995</v>
      </c>
      <c r="C59" s="94">
        <f t="shared" si="28"/>
        <v>6.1125350000000003</v>
      </c>
      <c r="D59" s="94">
        <f t="shared" si="28"/>
        <v>6.3417550625000008</v>
      </c>
      <c r="E59" s="94">
        <f t="shared" si="28"/>
        <v>6.5795708773437518</v>
      </c>
      <c r="F59" s="94">
        <f t="shared" si="28"/>
        <v>6.826304785244143</v>
      </c>
      <c r="G59" s="94">
        <f t="shared" si="28"/>
        <v>7.082291214690799</v>
      </c>
      <c r="H59" s="94">
        <f t="shared" si="28"/>
        <v>7.3478771352417045</v>
      </c>
      <c r="I59" s="94">
        <f t="shared" si="28"/>
        <v>7.6234225278132692</v>
      </c>
      <c r="J59" s="94">
        <f t="shared" si="28"/>
        <v>7.9093008726062672</v>
      </c>
      <c r="K59" s="94">
        <f t="shared" si="28"/>
        <v>8.2058996553290022</v>
      </c>
      <c r="L59" s="94">
        <f t="shared" si="28"/>
        <v>8.513620892403841</v>
      </c>
      <c r="M59" s="95">
        <f t="shared" si="28"/>
        <v>8.8328816758689861</v>
      </c>
    </row>
    <row r="60" spans="1:13" ht="15.75" thickBot="1" x14ac:dyDescent="0.3">
      <c r="A60" s="18" t="s">
        <v>28</v>
      </c>
      <c r="B60" s="96">
        <f t="shared" ref="B60:M60" si="29">+SUM(B49:B59)</f>
        <v>121.97160000000002</v>
      </c>
      <c r="C60" s="69">
        <f t="shared" si="29"/>
        <v>126.07939343079923</v>
      </c>
      <c r="D60" s="69">
        <f t="shared" si="29"/>
        <v>130.33266501332415</v>
      </c>
      <c r="E60" s="69">
        <f t="shared" si="29"/>
        <v>134.73671283584599</v>
      </c>
      <c r="F60" s="69">
        <f t="shared" si="29"/>
        <v>139.29703077420098</v>
      </c>
      <c r="G60" s="69">
        <f t="shared" si="29"/>
        <v>144.01931578071418</v>
      </c>
      <c r="H60" s="69">
        <f t="shared" si="29"/>
        <v>148.90947544548263</v>
      </c>
      <c r="I60" s="69">
        <f t="shared" si="29"/>
        <v>153.97363584021238</v>
      </c>
      <c r="J60" s="69">
        <f t="shared" si="29"/>
        <v>159.21814965518814</v>
      </c>
      <c r="K60" s="69">
        <f t="shared" si="29"/>
        <v>164.64960464034806</v>
      </c>
      <c r="L60" s="69">
        <f t="shared" si="29"/>
        <v>170.27483236184989</v>
      </c>
      <c r="M60" s="70">
        <f t="shared" si="29"/>
        <v>176.10091728593929</v>
      </c>
    </row>
    <row r="61" spans="1:13" x14ac:dyDescent="0.25">
      <c r="A61" s="11" t="s">
        <v>69</v>
      </c>
      <c r="B61" s="91">
        <v>30</v>
      </c>
      <c r="C61" s="62">
        <f t="shared" ref="C61:M62" si="30">+B61*1.03</f>
        <v>30.900000000000002</v>
      </c>
      <c r="D61" s="62">
        <f t="shared" si="30"/>
        <v>31.827000000000002</v>
      </c>
      <c r="E61" s="62">
        <f t="shared" si="30"/>
        <v>32.78181</v>
      </c>
      <c r="F61" s="62">
        <f t="shared" si="30"/>
        <v>33.765264299999998</v>
      </c>
      <c r="G61" s="62">
        <f t="shared" si="30"/>
        <v>34.778222229000001</v>
      </c>
      <c r="H61" s="62">
        <f t="shared" si="30"/>
        <v>35.821568895870001</v>
      </c>
      <c r="I61" s="62">
        <f t="shared" si="30"/>
        <v>36.896215962746105</v>
      </c>
      <c r="J61" s="62">
        <f t="shared" si="30"/>
        <v>38.003102441628492</v>
      </c>
      <c r="K61" s="62">
        <f t="shared" si="30"/>
        <v>39.143195514877348</v>
      </c>
      <c r="L61" s="62">
        <f t="shared" si="30"/>
        <v>40.317491380323666</v>
      </c>
      <c r="M61" s="63">
        <f t="shared" si="30"/>
        <v>41.527016121733375</v>
      </c>
    </row>
    <row r="62" spans="1:13" ht="15.75" thickBot="1" x14ac:dyDescent="0.3">
      <c r="A62" s="11" t="s">
        <v>30</v>
      </c>
      <c r="B62" s="93">
        <v>50</v>
      </c>
      <c r="C62" s="94">
        <f t="shared" si="30"/>
        <v>51.5</v>
      </c>
      <c r="D62" s="94">
        <f t="shared" si="30"/>
        <v>53.045000000000002</v>
      </c>
      <c r="E62" s="94">
        <f t="shared" si="30"/>
        <v>54.63635</v>
      </c>
      <c r="F62" s="94">
        <f t="shared" si="30"/>
        <v>56.275440500000002</v>
      </c>
      <c r="G62" s="94">
        <f t="shared" si="30"/>
        <v>57.963703715000001</v>
      </c>
      <c r="H62" s="94">
        <f t="shared" si="30"/>
        <v>59.702614826450002</v>
      </c>
      <c r="I62" s="94">
        <f t="shared" si="30"/>
        <v>61.493693271243501</v>
      </c>
      <c r="J62" s="94">
        <f t="shared" si="30"/>
        <v>63.338504069380811</v>
      </c>
      <c r="K62" s="94">
        <f t="shared" si="30"/>
        <v>65.238659191462233</v>
      </c>
      <c r="L62" s="94">
        <f t="shared" si="30"/>
        <v>67.195818967206108</v>
      </c>
      <c r="M62" s="95">
        <f t="shared" si="30"/>
        <v>69.211693536222299</v>
      </c>
    </row>
    <row r="63" spans="1:13" ht="15.75" thickBot="1" x14ac:dyDescent="0.3">
      <c r="A63" s="18" t="s">
        <v>31</v>
      </c>
      <c r="B63" s="96">
        <f t="shared" ref="B63:M63" si="31">+SUM(B60:B62)</f>
        <v>201.97160000000002</v>
      </c>
      <c r="C63" s="69">
        <f t="shared" si="31"/>
        <v>208.47939343079923</v>
      </c>
      <c r="D63" s="69">
        <f t="shared" si="31"/>
        <v>215.20466501332413</v>
      </c>
      <c r="E63" s="69">
        <f t="shared" si="31"/>
        <v>222.15487283584599</v>
      </c>
      <c r="F63" s="69">
        <f t="shared" si="31"/>
        <v>229.33773557420096</v>
      </c>
      <c r="G63" s="69">
        <f t="shared" si="31"/>
        <v>236.76124172471418</v>
      </c>
      <c r="H63" s="69">
        <f t="shared" si="31"/>
        <v>244.43365916780263</v>
      </c>
      <c r="I63" s="69">
        <f t="shared" si="31"/>
        <v>252.36354507420199</v>
      </c>
      <c r="J63" s="69">
        <f t="shared" si="31"/>
        <v>260.55975616619747</v>
      </c>
      <c r="K63" s="69">
        <f t="shared" si="31"/>
        <v>269.0314593466876</v>
      </c>
      <c r="L63" s="69">
        <f t="shared" si="31"/>
        <v>277.78814270937966</v>
      </c>
      <c r="M63" s="70">
        <f t="shared" si="31"/>
        <v>286.83962694389493</v>
      </c>
    </row>
    <row r="64" spans="1:13" ht="15.75" thickBot="1" x14ac:dyDescent="0.3">
      <c r="A64" s="21" t="s">
        <v>32</v>
      </c>
      <c r="B64" s="97">
        <f t="shared" ref="B64:M64" si="32">+B63*35.14%</f>
        <v>70.972820240000004</v>
      </c>
      <c r="C64" s="98">
        <f t="shared" si="32"/>
        <v>73.259658851582856</v>
      </c>
      <c r="D64" s="98">
        <f t="shared" si="32"/>
        <v>75.622919285682102</v>
      </c>
      <c r="E64" s="98">
        <f t="shared" si="32"/>
        <v>78.065222314516276</v>
      </c>
      <c r="F64" s="98">
        <f t="shared" si="32"/>
        <v>80.589280280774219</v>
      </c>
      <c r="G64" s="98">
        <f t="shared" si="32"/>
        <v>83.197900342064557</v>
      </c>
      <c r="H64" s="98">
        <f t="shared" si="32"/>
        <v>85.893987831565838</v>
      </c>
      <c r="I64" s="98">
        <f t="shared" si="32"/>
        <v>88.680549739074578</v>
      </c>
      <c r="J64" s="98">
        <f t="shared" si="32"/>
        <v>91.56069831680179</v>
      </c>
      <c r="K64" s="98">
        <f t="shared" si="32"/>
        <v>94.53765481442602</v>
      </c>
      <c r="L64" s="98">
        <f t="shared" si="32"/>
        <v>97.614753348076007</v>
      </c>
      <c r="M64" s="99">
        <f t="shared" si="32"/>
        <v>100.79544490808468</v>
      </c>
    </row>
    <row r="65" spans="1:14" ht="15.75" thickBot="1" x14ac:dyDescent="0.3">
      <c r="A65" s="24" t="s">
        <v>33</v>
      </c>
      <c r="B65" s="26">
        <f t="shared" ref="B65:E65" si="33">+SUM(B63:B64)</f>
        <v>272.94442024</v>
      </c>
      <c r="C65" s="69">
        <f t="shared" si="33"/>
        <v>281.73905228238209</v>
      </c>
      <c r="D65" s="69">
        <f t="shared" si="33"/>
        <v>290.82758429900622</v>
      </c>
      <c r="E65" s="69">
        <f t="shared" si="33"/>
        <v>300.22009515036228</v>
      </c>
      <c r="F65" s="69">
        <f>+SUM(F63:F64)</f>
        <v>309.9270158549752</v>
      </c>
      <c r="G65" s="69">
        <f t="shared" ref="G65:M65" si="34">+SUM(G63:G64)</f>
        <v>319.95914206677872</v>
      </c>
      <c r="H65" s="69">
        <f t="shared" si="34"/>
        <v>330.32764699936848</v>
      </c>
      <c r="I65" s="69">
        <f t="shared" si="34"/>
        <v>341.04409481327656</v>
      </c>
      <c r="J65" s="69">
        <f t="shared" si="34"/>
        <v>352.12045448299926</v>
      </c>
      <c r="K65" s="69">
        <f t="shared" si="34"/>
        <v>363.56911416111359</v>
      </c>
      <c r="L65" s="69">
        <f t="shared" si="34"/>
        <v>375.40289605745568</v>
      </c>
      <c r="M65" s="69">
        <f t="shared" si="34"/>
        <v>387.6350718519796</v>
      </c>
      <c r="N65" s="27" t="s">
        <v>34</v>
      </c>
    </row>
    <row r="66" spans="1:14" ht="15.75" thickBot="1" x14ac:dyDescent="0.3">
      <c r="A66" s="24" t="s">
        <v>50</v>
      </c>
      <c r="B66" s="26">
        <v>15</v>
      </c>
      <c r="C66" s="69">
        <f t="shared" ref="C66:M66" si="35">B66*(1+$B$1)</f>
        <v>15.562500000000002</v>
      </c>
      <c r="D66" s="69">
        <f t="shared" si="35"/>
        <v>16.146093750000002</v>
      </c>
      <c r="E66" s="69">
        <f t="shared" si="35"/>
        <v>16.751572265625004</v>
      </c>
      <c r="F66" s="69">
        <f t="shared" si="35"/>
        <v>17.379756225585943</v>
      </c>
      <c r="G66" s="69">
        <f t="shared" si="35"/>
        <v>18.031497084045419</v>
      </c>
      <c r="H66" s="69">
        <f t="shared" si="35"/>
        <v>18.707678224697123</v>
      </c>
      <c r="I66" s="69">
        <f t="shared" si="35"/>
        <v>19.409216158123268</v>
      </c>
      <c r="J66" s="69">
        <f t="shared" si="35"/>
        <v>20.137061764052891</v>
      </c>
      <c r="K66" s="69">
        <f t="shared" si="35"/>
        <v>20.892201580204876</v>
      </c>
      <c r="L66" s="69">
        <f t="shared" si="35"/>
        <v>21.67565913946256</v>
      </c>
      <c r="M66" s="69">
        <f t="shared" si="35"/>
        <v>22.488496357192407</v>
      </c>
      <c r="N66" s="27"/>
    </row>
    <row r="67" spans="1:14" ht="15.75" thickBot="1" x14ac:dyDescent="0.3"/>
    <row r="68" spans="1:14" ht="16.5" thickBot="1" x14ac:dyDescent="0.3">
      <c r="A68" s="30" t="s">
        <v>37</v>
      </c>
      <c r="B68" s="31">
        <f>+((B65+B66)/$B$3)*100</f>
        <v>229.9508227439706</v>
      </c>
      <c r="C68" s="82">
        <f t="shared" ref="C68:M68" si="36">+((C65+C66)/$B$3)*100</f>
        <v>237.42337668294371</v>
      </c>
      <c r="D68" s="82">
        <f t="shared" si="36"/>
        <v>245.14748286935492</v>
      </c>
      <c r="E68" s="82">
        <f t="shared" si="36"/>
        <v>253.13182192619971</v>
      </c>
      <c r="F68" s="82">
        <f t="shared" si="36"/>
        <v>261.38537939671068</v>
      </c>
      <c r="G68" s="82">
        <f t="shared" si="36"/>
        <v>269.91745659704856</v>
      </c>
      <c r="H68" s="82">
        <f t="shared" si="36"/>
        <v>278.73768185918033</v>
      </c>
      <c r="I68" s="82">
        <f t="shared" si="36"/>
        <v>287.85602217808645</v>
      </c>
      <c r="J68" s="82">
        <f t="shared" si="36"/>
        <v>297.28279527795252</v>
      </c>
      <c r="K68" s="82">
        <f t="shared" si="36"/>
        <v>307.02868211253673</v>
      </c>
      <c r="L68" s="82">
        <f t="shared" si="36"/>
        <v>317.10473981545937</v>
      </c>
      <c r="M68" s="82">
        <f t="shared" si="36"/>
        <v>327.52241511673213</v>
      </c>
      <c r="N68" s="32">
        <f>SUMPRODUCT(B68:M68,B69:M69)/SUM(B69:M69)</f>
        <v>280.91118212770908</v>
      </c>
    </row>
    <row r="69" spans="1:14" ht="15.75" thickBot="1" x14ac:dyDescent="0.3">
      <c r="A69" s="30" t="s">
        <v>38</v>
      </c>
      <c r="B69" s="33"/>
      <c r="C69" s="84"/>
      <c r="D69" s="84"/>
      <c r="E69" s="84">
        <v>100</v>
      </c>
      <c r="F69" s="84"/>
      <c r="G69" s="84"/>
      <c r="H69" s="84"/>
      <c r="I69" s="84">
        <v>400</v>
      </c>
      <c r="J69" s="84"/>
      <c r="K69" s="84"/>
      <c r="L69" s="84"/>
      <c r="M69" s="84"/>
      <c r="N69" s="34">
        <f>SUM(B69:M69)</f>
        <v>500</v>
      </c>
    </row>
    <row r="73" spans="1:14" ht="15.75" thickBot="1" x14ac:dyDescent="0.3">
      <c r="B73" s="50" t="s">
        <v>70</v>
      </c>
      <c r="C73" s="50" t="s">
        <v>52</v>
      </c>
    </row>
    <row r="74" spans="1:14" ht="15.75" thickBot="1" x14ac:dyDescent="0.3">
      <c r="B74" s="100">
        <v>44713</v>
      </c>
      <c r="C74" s="101">
        <v>44713</v>
      </c>
    </row>
    <row r="75" spans="1:14" x14ac:dyDescent="0.25">
      <c r="A75" s="8" t="s">
        <v>4</v>
      </c>
      <c r="B75" s="102" t="s">
        <v>5</v>
      </c>
      <c r="C75" s="103" t="s">
        <v>5</v>
      </c>
    </row>
    <row r="76" spans="1:14" x14ac:dyDescent="0.25">
      <c r="A76" s="11" t="s">
        <v>53</v>
      </c>
      <c r="B76" s="12">
        <f>G14</f>
        <v>44</v>
      </c>
      <c r="C76" s="104">
        <f>G33</f>
        <v>107.4579791619512</v>
      </c>
    </row>
    <row r="77" spans="1:14" x14ac:dyDescent="0.25">
      <c r="A77" s="11" t="s">
        <v>54</v>
      </c>
      <c r="B77" s="12">
        <f>SUM(G15:G18)</f>
        <v>78.893333333333331</v>
      </c>
      <c r="C77" s="104">
        <f>G34</f>
        <v>105.5143456</v>
      </c>
    </row>
    <row r="78" spans="1:14" x14ac:dyDescent="0.25">
      <c r="A78" s="11" t="s">
        <v>55</v>
      </c>
      <c r="B78" s="12">
        <f>G19</f>
        <v>2.6666666666666665</v>
      </c>
      <c r="C78" s="104">
        <f>G36+G35</f>
        <v>47.173333333333332</v>
      </c>
    </row>
    <row r="79" spans="1:14" x14ac:dyDescent="0.25">
      <c r="A79" s="18" t="s">
        <v>28</v>
      </c>
      <c r="B79" s="105">
        <f>+SUM(B76:B78)</f>
        <v>125.56</v>
      </c>
      <c r="C79" s="106">
        <f>+SUM(C76:C78)</f>
        <v>260.14565809528455</v>
      </c>
    </row>
    <row r="80" spans="1:14" x14ac:dyDescent="0.25">
      <c r="A80" s="11" t="s">
        <v>56</v>
      </c>
      <c r="B80" s="12">
        <f>G21</f>
        <v>188.84</v>
      </c>
      <c r="C80" s="104">
        <f>G38</f>
        <v>66.666666666666671</v>
      </c>
    </row>
    <row r="81" spans="1:3" x14ac:dyDescent="0.25">
      <c r="A81" s="18" t="s">
        <v>31</v>
      </c>
      <c r="B81" s="105">
        <f>+B80+B79</f>
        <v>314.39999999999998</v>
      </c>
      <c r="C81" s="106">
        <f>+C80+C79</f>
        <v>326.81232476195123</v>
      </c>
    </row>
    <row r="82" spans="1:3" ht="15.75" thickBot="1" x14ac:dyDescent="0.3">
      <c r="A82" s="21" t="s">
        <v>32</v>
      </c>
      <c r="B82" s="12">
        <f t="shared" ref="B82:C82" si="37">+B81*35.14%</f>
        <v>110.48015999999998</v>
      </c>
      <c r="C82" s="104">
        <f t="shared" si="37"/>
        <v>114.84185092134966</v>
      </c>
    </row>
    <row r="83" spans="1:3" ht="15.75" thickBot="1" x14ac:dyDescent="0.3">
      <c r="A83" s="24" t="s">
        <v>33</v>
      </c>
      <c r="B83" s="107">
        <f>+B82+B81</f>
        <v>424.88015999999993</v>
      </c>
      <c r="C83" s="108">
        <f>+C82+C81</f>
        <v>441.65417568330088</v>
      </c>
    </row>
    <row r="84" spans="1:3" x14ac:dyDescent="0.25">
      <c r="B84">
        <f>+B83*0.75/1</f>
        <v>318.66011999999995</v>
      </c>
      <c r="C84">
        <f>+C83*0.75/1</f>
        <v>331.24063176247569</v>
      </c>
    </row>
  </sheetData>
  <dataConsolidate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06748-9D56-453D-81E2-0161E399480D}">
  <dimension ref="A3:P78"/>
  <sheetViews>
    <sheetView topLeftCell="A9" workbookViewId="0">
      <selection activeCell="F53" sqref="F53"/>
    </sheetView>
  </sheetViews>
  <sheetFormatPr baseColWidth="10" defaultColWidth="10.85546875" defaultRowHeight="15" outlineLevelRow="1" x14ac:dyDescent="0.25"/>
  <cols>
    <col min="1" max="1" width="38.7109375" bestFit="1" customWidth="1"/>
    <col min="2" max="13" width="8.42578125" customWidth="1"/>
    <col min="14" max="14" width="18.42578125" customWidth="1"/>
  </cols>
  <sheetData>
    <row r="3" spans="1:14" x14ac:dyDescent="0.25">
      <c r="A3" s="1" t="s">
        <v>0</v>
      </c>
      <c r="B3" s="2">
        <f>'[1]Sidra 1930'!B1</f>
        <v>3.7499999999999999E-2</v>
      </c>
    </row>
    <row r="4" spans="1:14" x14ac:dyDescent="0.25">
      <c r="A4" s="1" t="s">
        <v>1</v>
      </c>
      <c r="B4" s="1">
        <v>102.6</v>
      </c>
    </row>
    <row r="5" spans="1:14" x14ac:dyDescent="0.25">
      <c r="A5" s="1" t="s">
        <v>2</v>
      </c>
      <c r="B5" s="1">
        <f>'[1]Sidra 1930'!B3</f>
        <v>125.22</v>
      </c>
      <c r="D5" s="3">
        <f>1-(B5/B4)</f>
        <v>-0.22046783625731003</v>
      </c>
      <c r="E5" s="4">
        <f>(D5*(-1))/12</f>
        <v>1.8372319688109168E-2</v>
      </c>
    </row>
    <row r="7" spans="1:14" ht="15.75" thickBot="1" x14ac:dyDescent="0.3"/>
    <row r="8" spans="1:14" x14ac:dyDescent="0.25">
      <c r="A8" s="5" t="s">
        <v>3</v>
      </c>
      <c r="B8" s="6">
        <v>44562</v>
      </c>
      <c r="C8" s="6">
        <v>44593</v>
      </c>
      <c r="D8" s="6">
        <v>44621</v>
      </c>
      <c r="E8" s="6">
        <v>44652</v>
      </c>
      <c r="F8" s="6">
        <v>44682</v>
      </c>
      <c r="G8" s="6">
        <v>44713</v>
      </c>
      <c r="H8" s="6">
        <v>44743</v>
      </c>
      <c r="I8" s="6">
        <v>44774</v>
      </c>
      <c r="J8" s="6">
        <v>44805</v>
      </c>
      <c r="K8" s="6">
        <v>44835</v>
      </c>
      <c r="L8" s="6">
        <v>44866</v>
      </c>
      <c r="M8" s="7">
        <v>44896</v>
      </c>
    </row>
    <row r="9" spans="1:14" x14ac:dyDescent="0.25">
      <c r="A9" s="8" t="s">
        <v>4</v>
      </c>
      <c r="B9" s="9" t="s">
        <v>5</v>
      </c>
      <c r="C9" s="10" t="str">
        <f>B9</f>
        <v>0,75 X 6</v>
      </c>
      <c r="D9" s="10" t="str">
        <f t="shared" ref="D9:M9" si="0">C9</f>
        <v>0,75 X 6</v>
      </c>
      <c r="E9" s="10" t="str">
        <f t="shared" si="0"/>
        <v>0,75 X 6</v>
      </c>
      <c r="F9" s="10" t="str">
        <f t="shared" si="0"/>
        <v>0,75 X 6</v>
      </c>
      <c r="G9" s="10" t="str">
        <f t="shared" si="0"/>
        <v>0,75 X 6</v>
      </c>
      <c r="H9" s="10" t="str">
        <f t="shared" si="0"/>
        <v>0,75 X 6</v>
      </c>
      <c r="I9" s="10" t="str">
        <f t="shared" si="0"/>
        <v>0,75 X 6</v>
      </c>
      <c r="J9" s="10" t="str">
        <f t="shared" si="0"/>
        <v>0,75 X 6</v>
      </c>
      <c r="K9" s="10" t="str">
        <f t="shared" si="0"/>
        <v>0,75 X 6</v>
      </c>
      <c r="L9" s="10" t="str">
        <f t="shared" si="0"/>
        <v>0,75 X 6</v>
      </c>
      <c r="M9" s="10" t="str">
        <f t="shared" si="0"/>
        <v>0,75 X 6</v>
      </c>
    </row>
    <row r="10" spans="1:14" ht="15.75" hidden="1" customHeight="1" outlineLevel="1" x14ac:dyDescent="0.25">
      <c r="A10" s="11" t="s">
        <v>6</v>
      </c>
      <c r="B10" s="12"/>
      <c r="C10" s="13"/>
      <c r="D10" s="13"/>
      <c r="E10" s="13"/>
      <c r="F10" s="13"/>
      <c r="G10" s="14">
        <v>0.46</v>
      </c>
      <c r="H10" s="13"/>
      <c r="I10" s="13"/>
      <c r="J10" s="13"/>
      <c r="K10" s="13"/>
      <c r="L10" s="13"/>
      <c r="M10" s="13"/>
      <c r="N10" s="15">
        <f>(D10/110)*0.75</f>
        <v>0</v>
      </c>
    </row>
    <row r="11" spans="1:14" ht="15.75" hidden="1" customHeight="1" outlineLevel="1" x14ac:dyDescent="0.25">
      <c r="A11" s="11" t="s">
        <v>7</v>
      </c>
      <c r="B11" s="12"/>
      <c r="C11" s="13"/>
      <c r="D11" s="13"/>
      <c r="E11" s="13"/>
      <c r="F11" s="13"/>
      <c r="G11" s="14">
        <v>0.2</v>
      </c>
      <c r="H11" s="13"/>
      <c r="I11" s="13"/>
      <c r="J11" s="13"/>
      <c r="K11" s="13"/>
      <c r="L11" s="13"/>
      <c r="M11" s="13"/>
      <c r="N11" s="15">
        <f>(D11/110)*0.75</f>
        <v>0</v>
      </c>
    </row>
    <row r="12" spans="1:14" ht="15.75" hidden="1" customHeight="1" outlineLevel="1" x14ac:dyDescent="0.25">
      <c r="A12" s="11" t="s">
        <v>8</v>
      </c>
      <c r="B12" s="12"/>
      <c r="C12" s="13"/>
      <c r="D12" s="13"/>
      <c r="E12" s="13"/>
      <c r="F12" s="13"/>
      <c r="G12" s="14">
        <v>5.76</v>
      </c>
      <c r="H12" s="13"/>
      <c r="I12" s="13"/>
      <c r="J12" s="13"/>
      <c r="K12" s="13"/>
      <c r="L12" s="13"/>
      <c r="M12" s="13"/>
      <c r="N12" s="15"/>
    </row>
    <row r="13" spans="1:14" ht="15.75" hidden="1" customHeight="1" outlineLevel="1" x14ac:dyDescent="0.25">
      <c r="A13" s="11" t="s">
        <v>9</v>
      </c>
      <c r="B13" s="12"/>
      <c r="C13" s="13"/>
      <c r="D13" s="13"/>
      <c r="E13" s="13"/>
      <c r="F13" s="13"/>
      <c r="G13" s="14">
        <v>6.64</v>
      </c>
      <c r="H13" s="13"/>
      <c r="I13" s="13"/>
      <c r="J13" s="13"/>
      <c r="K13" s="13"/>
      <c r="L13" s="13"/>
      <c r="M13" s="13"/>
      <c r="N13" s="15"/>
    </row>
    <row r="14" spans="1:14" ht="15.75" hidden="1" customHeight="1" outlineLevel="1" x14ac:dyDescent="0.25">
      <c r="A14" s="11" t="s">
        <v>10</v>
      </c>
      <c r="B14" s="12"/>
      <c r="C14" s="13"/>
      <c r="D14" s="13"/>
      <c r="E14" s="13"/>
      <c r="F14" s="13"/>
      <c r="G14" s="14">
        <v>104.98</v>
      </c>
      <c r="H14" s="13"/>
      <c r="I14" s="13"/>
      <c r="J14" s="13"/>
      <c r="K14" s="13"/>
      <c r="L14" s="13"/>
      <c r="M14" s="13"/>
      <c r="N14" s="15"/>
    </row>
    <row r="15" spans="1:14" ht="15.75" hidden="1" customHeight="1" outlineLevel="1" x14ac:dyDescent="0.25">
      <c r="A15" s="11" t="s">
        <v>11</v>
      </c>
      <c r="B15" s="12"/>
      <c r="C15" s="13"/>
      <c r="D15" s="13"/>
      <c r="E15" s="13"/>
      <c r="F15" s="13"/>
      <c r="G15" s="14">
        <v>1.06</v>
      </c>
      <c r="H15" s="13"/>
      <c r="I15" s="13"/>
      <c r="J15" s="13"/>
      <c r="K15" s="13"/>
      <c r="L15" s="13"/>
      <c r="M15" s="13"/>
      <c r="N15" s="15"/>
    </row>
    <row r="16" spans="1:14" ht="15.75" hidden="1" customHeight="1" outlineLevel="1" x14ac:dyDescent="0.25">
      <c r="A16" s="11" t="s">
        <v>12</v>
      </c>
      <c r="B16" s="12"/>
      <c r="C16" s="13"/>
      <c r="D16" s="13"/>
      <c r="E16" s="13"/>
      <c r="F16" s="13"/>
      <c r="G16" s="14">
        <v>1.68</v>
      </c>
      <c r="H16" s="13"/>
      <c r="I16" s="13"/>
      <c r="J16" s="13"/>
      <c r="K16" s="13"/>
      <c r="L16" s="13"/>
      <c r="M16" s="13"/>
      <c r="N16" s="15"/>
    </row>
    <row r="17" spans="1:14" ht="15.75" hidden="1" customHeight="1" outlineLevel="1" x14ac:dyDescent="0.25">
      <c r="A17" s="11" t="s">
        <v>13</v>
      </c>
      <c r="B17" s="12"/>
      <c r="C17" s="13"/>
      <c r="D17" s="13"/>
      <c r="E17" s="13"/>
      <c r="F17" s="13"/>
      <c r="G17" s="14">
        <v>0.12</v>
      </c>
      <c r="H17" s="13"/>
      <c r="I17" s="13"/>
      <c r="J17" s="13"/>
      <c r="K17" s="13"/>
      <c r="L17" s="13"/>
      <c r="M17" s="13"/>
      <c r="N17" s="15"/>
    </row>
    <row r="18" spans="1:14" ht="15.75" hidden="1" customHeight="1" outlineLevel="1" x14ac:dyDescent="0.25">
      <c r="A18" s="11" t="s">
        <v>14</v>
      </c>
      <c r="B18" s="12"/>
      <c r="C18" s="13"/>
      <c r="D18" s="13"/>
      <c r="E18" s="13"/>
      <c r="F18" s="13"/>
      <c r="G18" s="14">
        <v>4.28</v>
      </c>
      <c r="H18" s="13"/>
      <c r="I18" s="13"/>
      <c r="J18" s="13"/>
      <c r="K18" s="13"/>
      <c r="L18" s="13"/>
      <c r="M18" s="13"/>
      <c r="N18" s="15"/>
    </row>
    <row r="19" spans="1:14" ht="15.75" hidden="1" customHeight="1" outlineLevel="1" x14ac:dyDescent="0.25">
      <c r="A19" s="11" t="s">
        <v>15</v>
      </c>
      <c r="B19" s="12"/>
      <c r="C19" s="13"/>
      <c r="D19" s="13"/>
      <c r="E19" s="13"/>
      <c r="F19" s="13"/>
      <c r="G19" s="14">
        <v>48.2</v>
      </c>
      <c r="H19" s="13"/>
      <c r="I19" s="13"/>
      <c r="J19" s="13"/>
      <c r="K19" s="13"/>
      <c r="L19" s="13"/>
      <c r="M19" s="13"/>
      <c r="N19" s="15"/>
    </row>
    <row r="20" spans="1:14" ht="15.75" hidden="1" customHeight="1" outlineLevel="1" x14ac:dyDescent="0.25">
      <c r="A20" s="11" t="s">
        <v>16</v>
      </c>
      <c r="B20" s="12"/>
      <c r="C20" s="13"/>
      <c r="D20" s="13"/>
      <c r="E20" s="13"/>
      <c r="F20" s="13"/>
      <c r="G20" s="14">
        <v>34.159999999999997</v>
      </c>
      <c r="H20" s="13"/>
      <c r="I20" s="13"/>
      <c r="J20" s="13"/>
      <c r="K20" s="13"/>
      <c r="L20" s="13"/>
      <c r="M20" s="13"/>
      <c r="N20" s="15"/>
    </row>
    <row r="21" spans="1:14" ht="15.75" hidden="1" customHeight="1" outlineLevel="1" x14ac:dyDescent="0.25">
      <c r="A21" s="11" t="s">
        <v>17</v>
      </c>
      <c r="B21" s="12"/>
      <c r="C21" s="13"/>
      <c r="D21" s="13"/>
      <c r="E21" s="13"/>
      <c r="F21" s="13"/>
      <c r="G21" s="14">
        <v>4.9000000000000004</v>
      </c>
      <c r="H21" s="13"/>
      <c r="I21" s="13"/>
      <c r="J21" s="13"/>
      <c r="K21" s="13"/>
      <c r="L21" s="13"/>
      <c r="M21" s="13"/>
      <c r="N21" s="15"/>
    </row>
    <row r="22" spans="1:14" ht="15.75" customHeight="1" collapsed="1" x14ac:dyDescent="0.25">
      <c r="A22" s="16" t="s">
        <v>18</v>
      </c>
      <c r="B22" s="12"/>
      <c r="C22" s="13"/>
      <c r="D22" s="13"/>
      <c r="E22" s="13"/>
      <c r="F22" s="13"/>
      <c r="G22" s="14">
        <f>SUM(G10:G21)</f>
        <v>212.44000000000003</v>
      </c>
      <c r="H22" s="13"/>
      <c r="I22" s="13"/>
      <c r="J22" s="13"/>
      <c r="K22" s="13"/>
      <c r="L22" s="13"/>
      <c r="M22" s="13"/>
      <c r="N22" s="17"/>
    </row>
    <row r="23" spans="1:14" ht="15.75" customHeight="1" x14ac:dyDescent="0.25">
      <c r="A23" s="16" t="s">
        <v>19</v>
      </c>
      <c r="B23" s="12"/>
      <c r="C23" s="13"/>
      <c r="D23" s="13"/>
      <c r="E23" s="13"/>
      <c r="F23" s="13"/>
      <c r="G23" s="14">
        <v>114.74</v>
      </c>
      <c r="H23" s="13"/>
      <c r="I23" s="13"/>
      <c r="J23" s="13"/>
      <c r="K23" s="13"/>
      <c r="L23" s="13"/>
      <c r="M23" s="13"/>
      <c r="N23" s="17"/>
    </row>
    <row r="24" spans="1:14" ht="15.75" customHeight="1" x14ac:dyDescent="0.25">
      <c r="A24" s="16" t="s">
        <v>20</v>
      </c>
      <c r="B24" s="12"/>
      <c r="C24" s="13"/>
      <c r="D24" s="13"/>
      <c r="E24" s="13"/>
      <c r="F24" s="13"/>
      <c r="G24" s="14">
        <v>28.86</v>
      </c>
      <c r="H24" s="13"/>
      <c r="I24" s="13"/>
      <c r="J24" s="13"/>
      <c r="K24" s="13"/>
      <c r="L24" s="13"/>
      <c r="M24" s="13"/>
      <c r="N24" s="17"/>
    </row>
    <row r="25" spans="1:14" ht="15.75" customHeight="1" x14ac:dyDescent="0.25">
      <c r="A25" s="11" t="s">
        <v>21</v>
      </c>
      <c r="B25" s="12"/>
      <c r="C25" s="13"/>
      <c r="D25" s="13"/>
      <c r="E25" s="13"/>
      <c r="F25" s="13"/>
      <c r="G25" s="14">
        <v>11.2</v>
      </c>
      <c r="H25" s="13"/>
      <c r="I25" s="13"/>
      <c r="J25" s="13"/>
      <c r="K25" s="13"/>
      <c r="L25" s="13"/>
      <c r="M25" s="13"/>
      <c r="N25" s="17"/>
    </row>
    <row r="26" spans="1:14" ht="15.75" customHeight="1" x14ac:dyDescent="0.25">
      <c r="A26" s="11" t="s">
        <v>22</v>
      </c>
      <c r="B26" s="12"/>
      <c r="C26" s="13"/>
      <c r="D26" s="13"/>
      <c r="E26" s="13"/>
      <c r="F26" s="13"/>
      <c r="G26" s="14">
        <v>4.8</v>
      </c>
      <c r="H26" s="13"/>
      <c r="I26" s="13"/>
      <c r="J26" s="13"/>
      <c r="K26" s="13"/>
      <c r="L26" s="13"/>
      <c r="M26" s="13"/>
    </row>
    <row r="27" spans="1:14" x14ac:dyDescent="0.25">
      <c r="A27" s="11" t="s">
        <v>23</v>
      </c>
      <c r="B27" s="12"/>
      <c r="C27" s="13"/>
      <c r="D27" s="13"/>
      <c r="E27" s="13"/>
      <c r="F27" s="13"/>
      <c r="G27" s="14">
        <v>1.86</v>
      </c>
      <c r="H27" s="13"/>
      <c r="I27" s="13"/>
      <c r="J27" s="13"/>
      <c r="K27" s="13"/>
      <c r="L27" s="13"/>
      <c r="M27" s="13"/>
    </row>
    <row r="28" spans="1:14" x14ac:dyDescent="0.25">
      <c r="A28" s="11" t="s">
        <v>24</v>
      </c>
      <c r="B28" s="12"/>
      <c r="C28" s="13"/>
      <c r="D28" s="13"/>
      <c r="E28" s="13"/>
      <c r="F28" s="13"/>
      <c r="G28" s="14">
        <v>4.3600000000000003</v>
      </c>
      <c r="H28" s="13"/>
      <c r="I28" s="13"/>
      <c r="J28" s="13"/>
      <c r="K28" s="13"/>
      <c r="L28" s="13"/>
      <c r="M28" s="13"/>
    </row>
    <row r="29" spans="1:14" x14ac:dyDescent="0.25">
      <c r="A29" s="11" t="s">
        <v>25</v>
      </c>
      <c r="B29" s="12"/>
      <c r="C29" s="13"/>
      <c r="D29" s="13"/>
      <c r="E29" s="13"/>
      <c r="F29" s="13"/>
      <c r="G29" s="14">
        <v>10.5</v>
      </c>
      <c r="H29" s="13"/>
      <c r="I29" s="13"/>
      <c r="J29" s="13"/>
      <c r="K29" s="13"/>
      <c r="L29" s="13"/>
      <c r="M29" s="13"/>
    </row>
    <row r="30" spans="1:14" x14ac:dyDescent="0.25">
      <c r="A30" s="11" t="s">
        <v>26</v>
      </c>
      <c r="B30" s="12"/>
      <c r="C30" s="13"/>
      <c r="D30" s="13"/>
      <c r="E30" s="13"/>
      <c r="F30" s="13"/>
      <c r="G30" s="14">
        <v>87.12</v>
      </c>
      <c r="H30" s="13"/>
      <c r="I30" s="13"/>
      <c r="J30" s="13"/>
      <c r="K30" s="13"/>
      <c r="L30" s="13"/>
      <c r="M30" s="13"/>
    </row>
    <row r="31" spans="1:14" x14ac:dyDescent="0.25">
      <c r="A31" s="11" t="s">
        <v>27</v>
      </c>
      <c r="B31" s="12"/>
      <c r="C31" s="13"/>
      <c r="D31" s="13"/>
      <c r="E31" s="13"/>
      <c r="F31" s="13"/>
      <c r="G31" s="14">
        <v>6.02</v>
      </c>
      <c r="H31" s="13"/>
      <c r="I31" s="13"/>
      <c r="J31" s="13"/>
      <c r="K31" s="13"/>
      <c r="L31" s="13"/>
      <c r="M31" s="13"/>
    </row>
    <row r="32" spans="1:14" x14ac:dyDescent="0.25">
      <c r="A32" s="18" t="s">
        <v>28</v>
      </c>
      <c r="B32" s="19">
        <f t="shared" ref="B32:M32" si="1">+SUM(B11:B31)</f>
        <v>0</v>
      </c>
      <c r="C32" s="19">
        <f t="shared" si="1"/>
        <v>0</v>
      </c>
      <c r="D32" s="19">
        <f t="shared" si="1"/>
        <v>0</v>
      </c>
      <c r="E32" s="19">
        <f t="shared" si="1"/>
        <v>0</v>
      </c>
      <c r="F32" s="19">
        <f t="shared" si="1"/>
        <v>0</v>
      </c>
      <c r="G32" s="20">
        <f t="shared" si="1"/>
        <v>693.88000000000011</v>
      </c>
      <c r="H32" s="19">
        <f t="shared" si="1"/>
        <v>0</v>
      </c>
      <c r="I32" s="19">
        <f t="shared" si="1"/>
        <v>0</v>
      </c>
      <c r="J32" s="19">
        <f t="shared" si="1"/>
        <v>0</v>
      </c>
      <c r="K32" s="19">
        <f t="shared" si="1"/>
        <v>0</v>
      </c>
      <c r="L32" s="19">
        <f t="shared" si="1"/>
        <v>0</v>
      </c>
      <c r="M32" s="19">
        <f t="shared" si="1"/>
        <v>0</v>
      </c>
    </row>
    <row r="33" spans="1:14" x14ac:dyDescent="0.25">
      <c r="A33" s="11" t="s">
        <v>29</v>
      </c>
      <c r="B33" s="12"/>
      <c r="C33" s="13"/>
      <c r="D33" s="13"/>
      <c r="E33" s="13"/>
      <c r="F33" s="13"/>
      <c r="G33" s="14">
        <v>216.68</v>
      </c>
      <c r="H33" s="13"/>
      <c r="I33" s="13"/>
      <c r="J33" s="13"/>
      <c r="K33" s="13"/>
      <c r="L33" s="13"/>
      <c r="M33" s="13"/>
    </row>
    <row r="34" spans="1:14" x14ac:dyDescent="0.25">
      <c r="A34" s="11" t="s">
        <v>30</v>
      </c>
      <c r="B34" s="12"/>
      <c r="C34" s="13"/>
      <c r="D34" s="13"/>
      <c r="E34" s="13"/>
      <c r="F34" s="13"/>
      <c r="G34" s="14">
        <v>54.18</v>
      </c>
      <c r="H34" s="13"/>
      <c r="I34" s="13"/>
      <c r="J34" s="13"/>
      <c r="K34" s="13"/>
      <c r="L34" s="13"/>
      <c r="M34" s="13"/>
    </row>
    <row r="35" spans="1:14" x14ac:dyDescent="0.25">
      <c r="A35" s="18" t="s">
        <v>31</v>
      </c>
      <c r="B35" s="19">
        <f t="shared" ref="B35:M35" si="2">+SUM(B32:B34)</f>
        <v>0</v>
      </c>
      <c r="C35" s="19">
        <f t="shared" si="2"/>
        <v>0</v>
      </c>
      <c r="D35" s="19">
        <f t="shared" si="2"/>
        <v>0</v>
      </c>
      <c r="E35" s="19">
        <f t="shared" si="2"/>
        <v>0</v>
      </c>
      <c r="F35" s="19">
        <f t="shared" si="2"/>
        <v>0</v>
      </c>
      <c r="G35" s="20">
        <f t="shared" si="2"/>
        <v>964.74000000000012</v>
      </c>
      <c r="H35" s="19">
        <f t="shared" si="2"/>
        <v>0</v>
      </c>
      <c r="I35" s="19">
        <f t="shared" si="2"/>
        <v>0</v>
      </c>
      <c r="J35" s="19">
        <f t="shared" si="2"/>
        <v>0</v>
      </c>
      <c r="K35" s="19">
        <f t="shared" si="2"/>
        <v>0</v>
      </c>
      <c r="L35" s="19">
        <f t="shared" si="2"/>
        <v>0</v>
      </c>
      <c r="M35" s="19">
        <f t="shared" si="2"/>
        <v>0</v>
      </c>
    </row>
    <row r="36" spans="1:14" ht="15.75" thickBot="1" x14ac:dyDescent="0.3">
      <c r="A36" s="21" t="s">
        <v>32</v>
      </c>
      <c r="B36" s="22">
        <f t="shared" ref="B36:M36" si="3">+B35*35.14%</f>
        <v>0</v>
      </c>
      <c r="C36" s="22">
        <f t="shared" si="3"/>
        <v>0</v>
      </c>
      <c r="D36" s="22">
        <f t="shared" si="3"/>
        <v>0</v>
      </c>
      <c r="E36" s="22">
        <f t="shared" si="3"/>
        <v>0</v>
      </c>
      <c r="F36" s="22">
        <f t="shared" si="3"/>
        <v>0</v>
      </c>
      <c r="G36" s="23">
        <f t="shared" si="3"/>
        <v>339.00963600000006</v>
      </c>
      <c r="H36" s="22">
        <f t="shared" si="3"/>
        <v>0</v>
      </c>
      <c r="I36" s="22">
        <f t="shared" si="3"/>
        <v>0</v>
      </c>
      <c r="J36" s="22">
        <f t="shared" si="3"/>
        <v>0</v>
      </c>
      <c r="K36" s="22">
        <f t="shared" si="3"/>
        <v>0</v>
      </c>
      <c r="L36" s="22">
        <f t="shared" si="3"/>
        <v>0</v>
      </c>
      <c r="M36" s="22">
        <f t="shared" si="3"/>
        <v>0</v>
      </c>
    </row>
    <row r="37" spans="1:14" ht="15.75" thickBot="1" x14ac:dyDescent="0.3">
      <c r="A37" s="24" t="s">
        <v>33</v>
      </c>
      <c r="B37" s="25">
        <f t="shared" ref="B37:G37" si="4">+SUM(B35:B36)</f>
        <v>0</v>
      </c>
      <c r="C37" s="25">
        <f t="shared" si="4"/>
        <v>0</v>
      </c>
      <c r="D37" s="25">
        <f t="shared" si="4"/>
        <v>0</v>
      </c>
      <c r="E37" s="25">
        <f t="shared" si="4"/>
        <v>0</v>
      </c>
      <c r="F37" s="25">
        <f>+SUM(F35:F36)</f>
        <v>0</v>
      </c>
      <c r="G37" s="26">
        <f t="shared" si="4"/>
        <v>1303.7496360000002</v>
      </c>
      <c r="H37" s="25">
        <f t="shared" ref="H37:M37" si="5">+SUM(H35:H36)</f>
        <v>0</v>
      </c>
      <c r="I37" s="25">
        <f t="shared" si="5"/>
        <v>0</v>
      </c>
      <c r="J37" s="25">
        <f t="shared" si="5"/>
        <v>0</v>
      </c>
      <c r="K37" s="25">
        <f t="shared" si="5"/>
        <v>0</v>
      </c>
      <c r="L37" s="25">
        <f t="shared" si="5"/>
        <v>0</v>
      </c>
      <c r="M37" s="25">
        <f t="shared" si="5"/>
        <v>0</v>
      </c>
      <c r="N37" s="27" t="s">
        <v>34</v>
      </c>
    </row>
    <row r="38" spans="1:14" ht="15.75" thickBot="1" x14ac:dyDescent="0.3">
      <c r="A38" s="24" t="s">
        <v>35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7"/>
    </row>
    <row r="39" spans="1:14" x14ac:dyDescent="0.25">
      <c r="A39" s="28" t="s">
        <v>36</v>
      </c>
      <c r="G39" s="29"/>
    </row>
    <row r="40" spans="1:14" ht="15.75" thickBot="1" x14ac:dyDescent="0.3"/>
    <row r="41" spans="1:14" ht="16.5" thickBot="1" x14ac:dyDescent="0.3">
      <c r="A41" s="30" t="s">
        <v>37</v>
      </c>
      <c r="B41" s="31">
        <f>+((B37+B38)/$B$5)*100</f>
        <v>0</v>
      </c>
      <c r="C41" s="31">
        <f t="shared" ref="C41:M41" si="6">+((C37+C38)/$B$5)*100</f>
        <v>0</v>
      </c>
      <c r="D41" s="31">
        <f t="shared" si="6"/>
        <v>0</v>
      </c>
      <c r="E41" s="31">
        <f t="shared" si="6"/>
        <v>0</v>
      </c>
      <c r="F41" s="31">
        <f t="shared" si="6"/>
        <v>0</v>
      </c>
      <c r="G41" s="31">
        <f t="shared" si="6"/>
        <v>1041.1672544321996</v>
      </c>
      <c r="H41" s="31">
        <f t="shared" si="6"/>
        <v>0</v>
      </c>
      <c r="I41" s="31">
        <f t="shared" si="6"/>
        <v>0</v>
      </c>
      <c r="J41" s="31">
        <f t="shared" si="6"/>
        <v>0</v>
      </c>
      <c r="K41" s="31">
        <f t="shared" si="6"/>
        <v>0</v>
      </c>
      <c r="L41" s="31">
        <f t="shared" si="6"/>
        <v>0</v>
      </c>
      <c r="M41" s="31">
        <f t="shared" si="6"/>
        <v>0</v>
      </c>
      <c r="N41" s="32" t="e">
        <f>SUMPRODUCT(B41:M41,B42:M42)/SUM(B42:M42)</f>
        <v>#DIV/0!</v>
      </c>
    </row>
    <row r="42" spans="1:14" ht="15.75" thickBot="1" x14ac:dyDescent="0.3">
      <c r="A42" s="30" t="s">
        <v>38</v>
      </c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4">
        <f>SUM(B42:M42)</f>
        <v>0</v>
      </c>
    </row>
    <row r="44" spans="1:14" ht="15.75" thickBot="1" x14ac:dyDescent="0.3"/>
    <row r="45" spans="1:14" x14ac:dyDescent="0.25">
      <c r="A45" s="5" t="s">
        <v>39</v>
      </c>
      <c r="B45" s="35">
        <v>44562</v>
      </c>
      <c r="C45" s="6">
        <v>44593</v>
      </c>
      <c r="D45" s="6">
        <v>44621</v>
      </c>
      <c r="E45" s="6">
        <v>44652</v>
      </c>
      <c r="F45" s="6">
        <v>44682</v>
      </c>
      <c r="G45" s="6">
        <v>44713</v>
      </c>
      <c r="H45" s="6">
        <v>44743</v>
      </c>
      <c r="I45" s="6">
        <v>44774</v>
      </c>
      <c r="J45" s="6">
        <v>44805</v>
      </c>
      <c r="K45" s="6">
        <v>44835</v>
      </c>
      <c r="L45" s="6">
        <v>44866</v>
      </c>
      <c r="M45" s="7">
        <v>44896</v>
      </c>
    </row>
    <row r="46" spans="1:14" x14ac:dyDescent="0.25">
      <c r="A46" s="36" t="s">
        <v>4</v>
      </c>
      <c r="B46" s="37" t="s">
        <v>40</v>
      </c>
      <c r="C46" s="10" t="str">
        <f>B46</f>
        <v>0,5 X 4</v>
      </c>
      <c r="D46" s="10" t="str">
        <f t="shared" ref="D46:M46" si="7">C46</f>
        <v>0,5 X 4</v>
      </c>
      <c r="E46" s="10" t="str">
        <f t="shared" si="7"/>
        <v>0,5 X 4</v>
      </c>
      <c r="F46" s="10" t="str">
        <f t="shared" si="7"/>
        <v>0,5 X 4</v>
      </c>
      <c r="G46" s="10" t="str">
        <f t="shared" si="7"/>
        <v>0,5 X 4</v>
      </c>
      <c r="H46" s="10" t="str">
        <f t="shared" si="7"/>
        <v>0,5 X 4</v>
      </c>
      <c r="I46" s="10" t="str">
        <f t="shared" si="7"/>
        <v>0,5 X 4</v>
      </c>
      <c r="J46" s="10" t="str">
        <f t="shared" si="7"/>
        <v>0,5 X 4</v>
      </c>
      <c r="K46" s="10" t="str">
        <f t="shared" si="7"/>
        <v>0,5 X 4</v>
      </c>
      <c r="L46" s="10" t="str">
        <f t="shared" si="7"/>
        <v>0,5 X 4</v>
      </c>
      <c r="M46" s="10" t="str">
        <f t="shared" si="7"/>
        <v>0,5 X 4</v>
      </c>
    </row>
    <row r="47" spans="1:14" x14ac:dyDescent="0.25">
      <c r="A47" s="38" t="s">
        <v>10</v>
      </c>
      <c r="B47" s="39">
        <v>50</v>
      </c>
      <c r="C47" s="14">
        <v>52.8</v>
      </c>
      <c r="D47" s="14">
        <v>59.88</v>
      </c>
      <c r="E47" s="14">
        <v>63</v>
      </c>
      <c r="F47" s="14">
        <v>72</v>
      </c>
      <c r="G47" s="14">
        <v>75.599999999999994</v>
      </c>
      <c r="H47" s="13"/>
      <c r="I47" s="13"/>
      <c r="J47" s="13"/>
      <c r="K47" s="13"/>
      <c r="L47" s="13"/>
      <c r="M47" s="13"/>
    </row>
    <row r="48" spans="1:14" x14ac:dyDescent="0.25">
      <c r="A48" s="40" t="s">
        <v>41</v>
      </c>
      <c r="B48" s="39">
        <v>82.74</v>
      </c>
      <c r="C48" s="14">
        <v>82.74</v>
      </c>
      <c r="D48" s="14">
        <v>88.2</v>
      </c>
      <c r="E48" s="14">
        <v>90.8</v>
      </c>
      <c r="F48" s="14">
        <v>102.26</v>
      </c>
      <c r="G48" s="14">
        <v>102.26</v>
      </c>
      <c r="H48" s="13"/>
      <c r="I48" s="13"/>
      <c r="J48" s="13"/>
      <c r="K48" s="13"/>
      <c r="L48" s="13"/>
      <c r="M48" s="13"/>
    </row>
    <row r="49" spans="1:16" x14ac:dyDescent="0.25">
      <c r="A49" s="38" t="s">
        <v>42</v>
      </c>
      <c r="B49" s="39">
        <v>1.58</v>
      </c>
      <c r="C49" s="14">
        <v>1.58</v>
      </c>
      <c r="D49" s="14">
        <v>1.58</v>
      </c>
      <c r="E49" s="14">
        <v>1.58</v>
      </c>
      <c r="F49" s="14">
        <v>1.8</v>
      </c>
      <c r="G49" s="14">
        <v>1.8</v>
      </c>
      <c r="H49" s="13"/>
      <c r="I49" s="13"/>
      <c r="J49" s="13"/>
      <c r="K49" s="13"/>
      <c r="L49" s="13"/>
      <c r="M49" s="13"/>
    </row>
    <row r="50" spans="1:16" x14ac:dyDescent="0.25">
      <c r="A50" s="40" t="s">
        <v>43</v>
      </c>
      <c r="B50" s="39">
        <v>2.04</v>
      </c>
      <c r="C50" s="14">
        <v>2.5</v>
      </c>
      <c r="D50" s="14">
        <v>2.5</v>
      </c>
      <c r="E50" s="14">
        <v>2.5</v>
      </c>
      <c r="F50" s="14">
        <v>2.9</v>
      </c>
      <c r="G50" s="14">
        <v>2.9</v>
      </c>
      <c r="H50" s="13"/>
      <c r="I50" s="13"/>
      <c r="J50" s="13"/>
      <c r="K50" s="13"/>
      <c r="L50" s="13"/>
      <c r="M50" s="13"/>
    </row>
    <row r="51" spans="1:16" x14ac:dyDescent="0.25">
      <c r="A51" s="38" t="s">
        <v>44</v>
      </c>
      <c r="B51" s="39">
        <v>62.54</v>
      </c>
      <c r="C51" s="14">
        <v>77.28</v>
      </c>
      <c r="D51" s="14">
        <v>77.28</v>
      </c>
      <c r="E51" s="14">
        <v>77.28</v>
      </c>
      <c r="F51" s="14">
        <v>77.28</v>
      </c>
      <c r="G51" s="14">
        <v>77.28</v>
      </c>
      <c r="H51" s="13"/>
      <c r="I51" s="13"/>
      <c r="J51" s="13"/>
      <c r="K51" s="13"/>
      <c r="L51" s="13"/>
      <c r="M51" s="13"/>
    </row>
    <row r="52" spans="1:16" x14ac:dyDescent="0.25">
      <c r="A52" s="40" t="s">
        <v>45</v>
      </c>
      <c r="B52" s="39">
        <v>26.24</v>
      </c>
      <c r="C52" s="14">
        <v>26.24</v>
      </c>
      <c r="D52" s="14">
        <v>26.24</v>
      </c>
      <c r="E52" s="14">
        <v>26.24</v>
      </c>
      <c r="F52" s="14">
        <v>26.24</v>
      </c>
      <c r="G52" s="14">
        <v>26.24</v>
      </c>
      <c r="H52" s="13"/>
      <c r="I52" s="13"/>
      <c r="J52" s="13"/>
      <c r="K52" s="13"/>
      <c r="L52" s="13"/>
      <c r="M52" s="13"/>
    </row>
    <row r="53" spans="1:16" x14ac:dyDescent="0.25">
      <c r="A53" s="38" t="s">
        <v>46</v>
      </c>
      <c r="B53" s="39">
        <v>62.2</v>
      </c>
      <c r="C53" s="14">
        <v>86.7</v>
      </c>
      <c r="D53" s="14">
        <v>86.7</v>
      </c>
      <c r="E53" s="14">
        <v>86.7</v>
      </c>
      <c r="F53" s="14">
        <v>96.74</v>
      </c>
      <c r="G53" s="14">
        <v>114.74</v>
      </c>
      <c r="H53" s="13"/>
      <c r="I53" s="13"/>
      <c r="J53" s="13"/>
      <c r="K53" s="13"/>
      <c r="L53" s="13"/>
      <c r="M53" s="13"/>
    </row>
    <row r="54" spans="1:16" x14ac:dyDescent="0.25">
      <c r="A54" s="40" t="s">
        <v>47</v>
      </c>
      <c r="B54" s="39">
        <v>29.1</v>
      </c>
      <c r="C54" s="14">
        <v>29.1</v>
      </c>
      <c r="D54" s="14">
        <v>29.1</v>
      </c>
      <c r="E54" s="14">
        <v>29.1</v>
      </c>
      <c r="F54" s="14">
        <v>34.92</v>
      </c>
      <c r="G54" s="14">
        <v>39.36</v>
      </c>
      <c r="H54" s="13"/>
      <c r="I54" s="13"/>
      <c r="J54" s="13"/>
      <c r="K54" s="13"/>
      <c r="L54" s="13"/>
      <c r="M54" s="13"/>
    </row>
    <row r="55" spans="1:16" ht="15.75" thickBot="1" x14ac:dyDescent="0.3">
      <c r="A55" s="38" t="s">
        <v>48</v>
      </c>
      <c r="B55" s="39">
        <v>56</v>
      </c>
      <c r="C55" s="14">
        <v>58.8</v>
      </c>
      <c r="D55" s="14">
        <v>61.16</v>
      </c>
      <c r="E55" s="14">
        <v>65.44</v>
      </c>
      <c r="F55" s="14">
        <v>69.36</v>
      </c>
      <c r="G55" s="14">
        <v>72.819999999999993</v>
      </c>
      <c r="H55" s="13"/>
      <c r="I55" s="13"/>
      <c r="J55" s="13"/>
      <c r="K55" s="13"/>
      <c r="L55" s="13"/>
      <c r="M55" s="13"/>
    </row>
    <row r="56" spans="1:16" ht="15.75" thickBot="1" x14ac:dyDescent="0.3">
      <c r="A56" s="41" t="s">
        <v>28</v>
      </c>
      <c r="B56" s="42">
        <v>372.44000000000005</v>
      </c>
      <c r="C56" s="42">
        <v>417.74000000000007</v>
      </c>
      <c r="D56" s="42">
        <v>432.6400000000001</v>
      </c>
      <c r="E56" s="42">
        <v>442.64000000000004</v>
      </c>
      <c r="F56" s="42">
        <v>483.50000000000006</v>
      </c>
      <c r="G56" s="42">
        <v>513</v>
      </c>
      <c r="H56" s="43">
        <f t="shared" ref="H56:M56" si="8">+SUM(H47:H55)</f>
        <v>0</v>
      </c>
      <c r="I56" s="43">
        <f t="shared" si="8"/>
        <v>0</v>
      </c>
      <c r="J56" s="43">
        <f t="shared" si="8"/>
        <v>0</v>
      </c>
      <c r="K56" s="43">
        <f t="shared" si="8"/>
        <v>0</v>
      </c>
      <c r="L56" s="43">
        <f t="shared" si="8"/>
        <v>0</v>
      </c>
      <c r="M56" s="43">
        <f t="shared" si="8"/>
        <v>0</v>
      </c>
    </row>
    <row r="57" spans="1:16" ht="15.75" thickBot="1" x14ac:dyDescent="0.3">
      <c r="A57" s="44" t="s">
        <v>49</v>
      </c>
      <c r="B57" s="39">
        <v>60</v>
      </c>
      <c r="C57" s="14">
        <v>73.2</v>
      </c>
      <c r="D57" s="14">
        <v>73.2</v>
      </c>
      <c r="E57" s="14">
        <v>73.2</v>
      </c>
      <c r="F57" s="14">
        <v>84.18</v>
      </c>
      <c r="G57" s="14">
        <v>84.18</v>
      </c>
      <c r="H57" s="13"/>
      <c r="I57" s="13"/>
      <c r="J57" s="13"/>
      <c r="K57" s="13"/>
      <c r="L57" s="13"/>
      <c r="M57" s="13"/>
      <c r="P57" s="45"/>
    </row>
    <row r="58" spans="1:16" ht="15.75" thickBot="1" x14ac:dyDescent="0.3">
      <c r="A58" s="41" t="s">
        <v>31</v>
      </c>
      <c r="B58" s="42">
        <f t="shared" ref="B58" si="9">+SUM(B56:B57)</f>
        <v>432.44000000000005</v>
      </c>
      <c r="C58" s="20">
        <f t="shared" ref="C58:M58" si="10">+SUM(C56:C57)</f>
        <v>490.94000000000005</v>
      </c>
      <c r="D58" s="20">
        <f t="shared" si="10"/>
        <v>505.84000000000009</v>
      </c>
      <c r="E58" s="20">
        <f t="shared" si="10"/>
        <v>515.84</v>
      </c>
      <c r="F58" s="20">
        <f t="shared" si="10"/>
        <v>567.68000000000006</v>
      </c>
      <c r="G58" s="20">
        <f t="shared" si="10"/>
        <v>597.18000000000006</v>
      </c>
      <c r="H58" s="19">
        <f t="shared" si="10"/>
        <v>0</v>
      </c>
      <c r="I58" s="19">
        <f t="shared" si="10"/>
        <v>0</v>
      </c>
      <c r="J58" s="19">
        <f t="shared" si="10"/>
        <v>0</v>
      </c>
      <c r="K58" s="19">
        <f t="shared" si="10"/>
        <v>0</v>
      </c>
      <c r="L58" s="19">
        <f t="shared" si="10"/>
        <v>0</v>
      </c>
      <c r="M58" s="19">
        <f t="shared" si="10"/>
        <v>0</v>
      </c>
      <c r="P58" s="46"/>
    </row>
    <row r="59" spans="1:16" ht="15.75" thickBot="1" x14ac:dyDescent="0.3">
      <c r="A59" s="47" t="s">
        <v>32</v>
      </c>
      <c r="B59" s="48">
        <f t="shared" ref="B59:M59" si="11">+B58*35.14%</f>
        <v>151.959416</v>
      </c>
      <c r="C59" s="23">
        <f t="shared" si="11"/>
        <v>172.51631600000002</v>
      </c>
      <c r="D59" s="23">
        <f t="shared" si="11"/>
        <v>177.75217600000002</v>
      </c>
      <c r="E59" s="23">
        <f t="shared" si="11"/>
        <v>181.266176</v>
      </c>
      <c r="F59" s="23">
        <f t="shared" si="11"/>
        <v>199.482752</v>
      </c>
      <c r="G59" s="23">
        <f t="shared" si="11"/>
        <v>209.84905200000003</v>
      </c>
      <c r="H59" s="22">
        <f t="shared" si="11"/>
        <v>0</v>
      </c>
      <c r="I59" s="22">
        <f t="shared" si="11"/>
        <v>0</v>
      </c>
      <c r="J59" s="22">
        <f t="shared" si="11"/>
        <v>0</v>
      </c>
      <c r="K59" s="22">
        <f t="shared" si="11"/>
        <v>0</v>
      </c>
      <c r="L59" s="22">
        <f t="shared" si="11"/>
        <v>0</v>
      </c>
      <c r="M59" s="22">
        <f t="shared" si="11"/>
        <v>0</v>
      </c>
    </row>
    <row r="60" spans="1:16" ht="15.75" thickBot="1" x14ac:dyDescent="0.3">
      <c r="A60" s="24" t="s">
        <v>33</v>
      </c>
      <c r="B60" s="26">
        <f t="shared" ref="B60:E60" si="12">+SUM(B58:B59)</f>
        <v>584.39941600000009</v>
      </c>
      <c r="C60" s="26">
        <f t="shared" si="12"/>
        <v>663.45631600000002</v>
      </c>
      <c r="D60" s="26">
        <f t="shared" si="12"/>
        <v>683.59217600000011</v>
      </c>
      <c r="E60" s="26">
        <f t="shared" si="12"/>
        <v>697.106176</v>
      </c>
      <c r="F60" s="26">
        <f>+SUM(F58:F59)</f>
        <v>767.16275200000007</v>
      </c>
      <c r="G60" s="26">
        <f t="shared" ref="G60:M60" si="13">+SUM(G58:G59)</f>
        <v>807.02905200000009</v>
      </c>
      <c r="H60" s="25">
        <f t="shared" si="13"/>
        <v>0</v>
      </c>
      <c r="I60" s="25">
        <f t="shared" si="13"/>
        <v>0</v>
      </c>
      <c r="J60" s="25">
        <f t="shared" si="13"/>
        <v>0</v>
      </c>
      <c r="K60" s="25">
        <f t="shared" si="13"/>
        <v>0</v>
      </c>
      <c r="L60" s="25">
        <f t="shared" si="13"/>
        <v>0</v>
      </c>
      <c r="M60" s="25">
        <f t="shared" si="13"/>
        <v>0</v>
      </c>
      <c r="N60" s="27" t="s">
        <v>34</v>
      </c>
    </row>
    <row r="61" spans="1:16" ht="15.75" thickBot="1" x14ac:dyDescent="0.3">
      <c r="A61" s="24" t="s">
        <v>50</v>
      </c>
      <c r="B61" s="26"/>
      <c r="C61" s="26"/>
      <c r="D61" s="26"/>
      <c r="E61" s="26"/>
      <c r="F61" s="26"/>
      <c r="G61" s="26"/>
      <c r="H61" s="25">
        <f t="shared" ref="H61:M61" si="14">G61*(1+$B$3)</f>
        <v>0</v>
      </c>
      <c r="I61" s="25">
        <f t="shared" si="14"/>
        <v>0</v>
      </c>
      <c r="J61" s="25">
        <f t="shared" si="14"/>
        <v>0</v>
      </c>
      <c r="K61" s="25">
        <f t="shared" si="14"/>
        <v>0</v>
      </c>
      <c r="L61" s="25">
        <f t="shared" si="14"/>
        <v>0</v>
      </c>
      <c r="M61" s="25">
        <f t="shared" si="14"/>
        <v>0</v>
      </c>
      <c r="N61" s="27"/>
    </row>
    <row r="62" spans="1:16" x14ac:dyDescent="0.25">
      <c r="A62" s="28" t="s">
        <v>36</v>
      </c>
      <c r="B62" s="29"/>
      <c r="C62" s="29"/>
      <c r="D62" s="29"/>
      <c r="E62" s="29"/>
      <c r="F62" s="29"/>
      <c r="G62" s="29"/>
    </row>
    <row r="63" spans="1:16" ht="15.75" thickBot="1" x14ac:dyDescent="0.3"/>
    <row r="64" spans="1:16" ht="16.5" thickBot="1" x14ac:dyDescent="0.3">
      <c r="A64" s="30" t="s">
        <v>37</v>
      </c>
      <c r="B64" s="31">
        <f>+((B60+B61)/$B$5)*100</f>
        <v>466.69814406644309</v>
      </c>
      <c r="C64" s="31">
        <f t="shared" ref="C64:M64" si="15">+((C60+C61)/$B$5)*100</f>
        <v>529.83254751637116</v>
      </c>
      <c r="D64" s="31">
        <f t="shared" si="15"/>
        <v>545.91293403609654</v>
      </c>
      <c r="E64" s="31">
        <f t="shared" si="15"/>
        <v>556.70513975403287</v>
      </c>
      <c r="F64" s="31">
        <f t="shared" si="15"/>
        <v>612.65193419581544</v>
      </c>
      <c r="G64" s="31">
        <f t="shared" si="15"/>
        <v>644.48894106372791</v>
      </c>
      <c r="H64" s="31">
        <f t="shared" si="15"/>
        <v>0</v>
      </c>
      <c r="I64" s="31">
        <f t="shared" si="15"/>
        <v>0</v>
      </c>
      <c r="J64" s="31">
        <f t="shared" si="15"/>
        <v>0</v>
      </c>
      <c r="K64" s="31">
        <f t="shared" si="15"/>
        <v>0</v>
      </c>
      <c r="L64" s="31">
        <f t="shared" si="15"/>
        <v>0</v>
      </c>
      <c r="M64" s="31">
        <f t="shared" si="15"/>
        <v>0</v>
      </c>
      <c r="N64" s="32">
        <f>+G64</f>
        <v>644.48894106372791</v>
      </c>
      <c r="O64" s="49">
        <f>E60*0.75</f>
        <v>522.82963199999995</v>
      </c>
    </row>
    <row r="65" spans="1:14" ht="15.75" thickBot="1" x14ac:dyDescent="0.3">
      <c r="A65" s="30" t="s">
        <v>38</v>
      </c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4">
        <f>SUM(B65:M65)</f>
        <v>0</v>
      </c>
    </row>
    <row r="68" spans="1:14" ht="15.75" thickBot="1" x14ac:dyDescent="0.3">
      <c r="B68" s="50" t="s">
        <v>51</v>
      </c>
      <c r="C68" s="50" t="s">
        <v>52</v>
      </c>
    </row>
    <row r="69" spans="1:14" x14ac:dyDescent="0.25">
      <c r="B69" s="6">
        <v>44713</v>
      </c>
      <c r="C69" s="6">
        <v>44713</v>
      </c>
    </row>
    <row r="70" spans="1:14" x14ac:dyDescent="0.25">
      <c r="A70" s="8" t="s">
        <v>4</v>
      </c>
      <c r="B70" s="8" t="s">
        <v>40</v>
      </c>
      <c r="C70" s="8" t="s">
        <v>40</v>
      </c>
    </row>
    <row r="71" spans="1:14" x14ac:dyDescent="0.25">
      <c r="A71" s="11" t="s">
        <v>53</v>
      </c>
      <c r="B71" s="13">
        <f>G22</f>
        <v>212.44000000000003</v>
      </c>
      <c r="C71" s="13">
        <f>SUM(G47:G48)</f>
        <v>177.86</v>
      </c>
    </row>
    <row r="72" spans="1:14" x14ac:dyDescent="0.25">
      <c r="A72" s="11" t="s">
        <v>54</v>
      </c>
      <c r="B72" s="13">
        <f>SUM(G23:G31)</f>
        <v>269.46000000000004</v>
      </c>
      <c r="C72" s="13">
        <f>SUM(G49:G54)</f>
        <v>262.32</v>
      </c>
    </row>
    <row r="73" spans="1:14" x14ac:dyDescent="0.25">
      <c r="A73" s="11" t="s">
        <v>55</v>
      </c>
      <c r="B73" s="13">
        <v>0</v>
      </c>
      <c r="C73" s="13">
        <f>G55</f>
        <v>72.819999999999993</v>
      </c>
    </row>
    <row r="74" spans="1:14" x14ac:dyDescent="0.25">
      <c r="A74" s="18" t="s">
        <v>28</v>
      </c>
      <c r="B74" s="19">
        <f>+SUM(B71:B73)</f>
        <v>481.90000000000009</v>
      </c>
      <c r="C74" s="19">
        <f>+SUM(C71:C73)</f>
        <v>513</v>
      </c>
    </row>
    <row r="75" spans="1:14" x14ac:dyDescent="0.25">
      <c r="A75" s="11" t="s">
        <v>56</v>
      </c>
      <c r="B75" s="13">
        <f>SUM(G33:G34)</f>
        <v>270.86</v>
      </c>
      <c r="C75" s="13">
        <f>G57</f>
        <v>84.18</v>
      </c>
    </row>
    <row r="76" spans="1:14" x14ac:dyDescent="0.25">
      <c r="A76" s="18" t="s">
        <v>31</v>
      </c>
      <c r="B76" s="19">
        <f>+B75+B74</f>
        <v>752.7600000000001</v>
      </c>
      <c r="C76" s="19">
        <f>+C75+C74</f>
        <v>597.18000000000006</v>
      </c>
    </row>
    <row r="77" spans="1:14" ht="15.75" thickBot="1" x14ac:dyDescent="0.3">
      <c r="A77" s="21" t="s">
        <v>32</v>
      </c>
      <c r="B77" s="22">
        <f t="shared" ref="B77:C77" si="16">+B76*35.14%</f>
        <v>264.51986400000004</v>
      </c>
      <c r="C77" s="22">
        <f t="shared" si="16"/>
        <v>209.84905200000003</v>
      </c>
    </row>
    <row r="78" spans="1:14" ht="15.75" thickBot="1" x14ac:dyDescent="0.3">
      <c r="A78" s="24" t="s">
        <v>33</v>
      </c>
      <c r="B78" s="25">
        <f>+B77+B76</f>
        <v>1017.2798640000001</v>
      </c>
      <c r="C78" s="25">
        <f>+C77+C76</f>
        <v>807.02905200000009</v>
      </c>
      <c r="D78" s="51">
        <f>+C78/B78-1</f>
        <v>-0.20667941973537385</v>
      </c>
    </row>
  </sheetData>
  <dataConsolidate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Rider</vt:lpstr>
      <vt:lpstr>Bosque Nativo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Brea, Nicolas Martin</dc:creator>
  <cp:lastModifiedBy>Brea, Nicolas Martin</cp:lastModifiedBy>
  <dcterms:created xsi:type="dcterms:W3CDTF">2022-07-04T18:02:33Z</dcterms:created>
  <dcterms:modified xsi:type="dcterms:W3CDTF">2022-07-04T18:03:07Z</dcterms:modified>
</cp:coreProperties>
</file>