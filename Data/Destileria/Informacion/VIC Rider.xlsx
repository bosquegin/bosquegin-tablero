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"/>
    </mc:Choice>
  </mc:AlternateContent>
  <xr:revisionPtr revIDLastSave="0" documentId="8_{0A5288D0-BF8F-454C-BBC2-BB0FA705E2C5}" xr6:coauthVersionLast="47" xr6:coauthVersionMax="47" xr10:uidLastSave="{00000000-0000-0000-0000-000000000000}"/>
  <bookViews>
    <workbookView xWindow="-120" yWindow="-120" windowWidth="20730" windowHeight="11040" xr2:uid="{067686FB-819A-4E71-B0F0-2E5576D1AEAE}"/>
  </bookViews>
  <sheets>
    <sheet name="CMQ-Rider" sheetId="1" r:id="rId1"/>
  </sheets>
  <externalReferences>
    <externalReference r:id="rId2"/>
  </externalReferences>
  <definedNames>
    <definedName name="_xlnm.Print_Area" localSheetId="0">'CMQ-Rider'!$A$1:$N$80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1" l="1"/>
  <c r="B3" i="1"/>
  <c r="D3" i="1" s="1"/>
  <c r="E3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G7" i="1"/>
  <c r="H7" i="1" s="1"/>
  <c r="I7" i="1" s="1"/>
  <c r="J7" i="1" s="1"/>
  <c r="K7" i="1" s="1"/>
  <c r="L7" i="1" s="1"/>
  <c r="M7" i="1" s="1"/>
  <c r="G8" i="1"/>
  <c r="H8" i="1"/>
  <c r="I8" i="1" s="1"/>
  <c r="G9" i="1"/>
  <c r="H9" i="1"/>
  <c r="I9" i="1"/>
  <c r="J9" i="1" s="1"/>
  <c r="K9" i="1" s="1"/>
  <c r="L9" i="1" s="1"/>
  <c r="M9" i="1" s="1"/>
  <c r="G10" i="1"/>
  <c r="G11" i="1"/>
  <c r="H11" i="1"/>
  <c r="I11" i="1" s="1"/>
  <c r="J11" i="1" s="1"/>
  <c r="K11" i="1" s="1"/>
  <c r="L11" i="1" s="1"/>
  <c r="M11" i="1" s="1"/>
  <c r="G13" i="1"/>
  <c r="H13" i="1" s="1"/>
  <c r="I13" i="1" s="1"/>
  <c r="J13" i="1" s="1"/>
  <c r="K13" i="1" s="1"/>
  <c r="L13" i="1" s="1"/>
  <c r="M13" i="1" s="1"/>
  <c r="G14" i="1"/>
  <c r="H14" i="1"/>
  <c r="I14" i="1" s="1"/>
  <c r="J14" i="1" s="1"/>
  <c r="K14" i="1" s="1"/>
  <c r="L14" i="1" s="1"/>
  <c r="M14" i="1" s="1"/>
  <c r="G15" i="1"/>
  <c r="H15" i="1" s="1"/>
  <c r="I15" i="1" s="1"/>
  <c r="J15" i="1" s="1"/>
  <c r="K15" i="1" s="1"/>
  <c r="L15" i="1" s="1"/>
  <c r="M15" i="1" s="1"/>
  <c r="G16" i="1"/>
  <c r="H16" i="1"/>
  <c r="I16" i="1" s="1"/>
  <c r="J16" i="1" s="1"/>
  <c r="K16" i="1" s="1"/>
  <c r="L16" i="1" s="1"/>
  <c r="M16" i="1" s="1"/>
  <c r="G17" i="1"/>
  <c r="H17" i="1"/>
  <c r="I17" i="1"/>
  <c r="J17" i="1" s="1"/>
  <c r="K17" i="1" s="1"/>
  <c r="L17" i="1" s="1"/>
  <c r="M17" i="1" s="1"/>
  <c r="G18" i="1"/>
  <c r="H18" i="1" s="1"/>
  <c r="I18" i="1" s="1"/>
  <c r="J18" i="1" s="1"/>
  <c r="K18" i="1" s="1"/>
  <c r="L18" i="1" s="1"/>
  <c r="M18" i="1" s="1"/>
  <c r="B19" i="1"/>
  <c r="C19" i="1"/>
  <c r="D19" i="1"/>
  <c r="E19" i="1"/>
  <c r="F19" i="1"/>
  <c r="F21" i="1" s="1"/>
  <c r="G20" i="1"/>
  <c r="H20" i="1" s="1"/>
  <c r="I20" i="1" s="1"/>
  <c r="J20" i="1" s="1"/>
  <c r="K20" i="1" s="1"/>
  <c r="L20" i="1" s="1"/>
  <c r="M20" i="1" s="1"/>
  <c r="B21" i="1"/>
  <c r="C21" i="1"/>
  <c r="C22" i="1" s="1"/>
  <c r="C23" i="1" s="1"/>
  <c r="C26" i="1" s="1"/>
  <c r="D21" i="1"/>
  <c r="E21" i="1"/>
  <c r="E22" i="1" s="1"/>
  <c r="E23" i="1" s="1"/>
  <c r="E26" i="1" s="1"/>
  <c r="B22" i="1"/>
  <c r="B23" i="1" s="1"/>
  <c r="B26" i="1" s="1"/>
  <c r="D22" i="1"/>
  <c r="D23" i="1" s="1"/>
  <c r="D26" i="1" s="1"/>
  <c r="G24" i="1"/>
  <c r="H24" i="1" s="1"/>
  <c r="I24" i="1" s="1"/>
  <c r="J24" i="1" s="1"/>
  <c r="K24" i="1" s="1"/>
  <c r="L24" i="1" s="1"/>
  <c r="M24" i="1" s="1"/>
  <c r="N27" i="1"/>
  <c r="C30" i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G31" i="1"/>
  <c r="H31" i="1" s="1"/>
  <c r="G32" i="1"/>
  <c r="H32" i="1" s="1"/>
  <c r="I32" i="1" s="1"/>
  <c r="J32" i="1" s="1"/>
  <c r="K32" i="1" s="1"/>
  <c r="L32" i="1" s="1"/>
  <c r="M32" i="1" s="1"/>
  <c r="G33" i="1"/>
  <c r="I33" i="1"/>
  <c r="O33" i="1"/>
  <c r="G34" i="1"/>
  <c r="H34" i="1"/>
  <c r="I34" i="1" s="1"/>
  <c r="J34" i="1" s="1"/>
  <c r="K34" i="1" s="1"/>
  <c r="L34" i="1" s="1"/>
  <c r="M34" i="1" s="1"/>
  <c r="B35" i="1"/>
  <c r="C35" i="1"/>
  <c r="D35" i="1"/>
  <c r="D37" i="1" s="1"/>
  <c r="E35" i="1"/>
  <c r="E37" i="1" s="1"/>
  <c r="F35" i="1"/>
  <c r="F37" i="1" s="1"/>
  <c r="G35" i="1"/>
  <c r="G37" i="1" s="1"/>
  <c r="G36" i="1"/>
  <c r="H36" i="1"/>
  <c r="I36" i="1" s="1"/>
  <c r="J36" i="1" s="1"/>
  <c r="K36" i="1" s="1"/>
  <c r="L36" i="1" s="1"/>
  <c r="M36" i="1" s="1"/>
  <c r="P36" i="1"/>
  <c r="P37" i="1" s="1"/>
  <c r="B37" i="1"/>
  <c r="C37" i="1"/>
  <c r="C38" i="1"/>
  <c r="C39" i="1" s="1"/>
  <c r="C42" i="1" s="1"/>
  <c r="G40" i="1"/>
  <c r="H40" i="1"/>
  <c r="I40" i="1" s="1"/>
  <c r="J40" i="1" s="1"/>
  <c r="K40" i="1" s="1"/>
  <c r="L40" i="1" s="1"/>
  <c r="M40" i="1" s="1"/>
  <c r="N43" i="1"/>
  <c r="C46" i="1"/>
  <c r="D46" i="1" s="1"/>
  <c r="E46" i="1" s="1"/>
  <c r="F46" i="1" s="1"/>
  <c r="G46" i="1" s="1"/>
  <c r="H46" i="1" s="1"/>
  <c r="I46" i="1" s="1"/>
  <c r="J46" i="1" s="1"/>
  <c r="K46" i="1" s="1"/>
  <c r="L46" i="1" s="1"/>
  <c r="M46" i="1" s="1"/>
  <c r="O46" i="1"/>
  <c r="C47" i="1"/>
  <c r="D47" i="1" s="1"/>
  <c r="C48" i="1"/>
  <c r="D48" i="1"/>
  <c r="E48" i="1" s="1"/>
  <c r="F48" i="1" s="1"/>
  <c r="G48" i="1" s="1"/>
  <c r="H48" i="1" s="1"/>
  <c r="I48" i="1" s="1"/>
  <c r="J48" i="1" s="1"/>
  <c r="K48" i="1" s="1"/>
  <c r="L48" i="1" s="1"/>
  <c r="M48" i="1" s="1"/>
  <c r="C49" i="1"/>
  <c r="D49" i="1"/>
  <c r="E49" i="1" s="1"/>
  <c r="F49" i="1" s="1"/>
  <c r="G49" i="1" s="1"/>
  <c r="H49" i="1" s="1"/>
  <c r="I49" i="1" s="1"/>
  <c r="J49" i="1" s="1"/>
  <c r="K49" i="1" s="1"/>
  <c r="L49" i="1" s="1"/>
  <c r="M49" i="1" s="1"/>
  <c r="C50" i="1"/>
  <c r="D50" i="1" s="1"/>
  <c r="E50" i="1" s="1"/>
  <c r="F50" i="1" s="1"/>
  <c r="G50" i="1" s="1"/>
  <c r="H50" i="1" s="1"/>
  <c r="I50" i="1" s="1"/>
  <c r="J50" i="1" s="1"/>
  <c r="K50" i="1" s="1"/>
  <c r="L50" i="1" s="1"/>
  <c r="M50" i="1" s="1"/>
  <c r="C51" i="1"/>
  <c r="C52" i="1"/>
  <c r="D52" i="1" s="1"/>
  <c r="E52" i="1" s="1"/>
  <c r="F52" i="1" s="1"/>
  <c r="G52" i="1" s="1"/>
  <c r="H52" i="1" s="1"/>
  <c r="I52" i="1" s="1"/>
  <c r="J52" i="1" s="1"/>
  <c r="K52" i="1" s="1"/>
  <c r="L52" i="1" s="1"/>
  <c r="M52" i="1" s="1"/>
  <c r="C53" i="1"/>
  <c r="D53" i="1" s="1"/>
  <c r="E53" i="1" s="1"/>
  <c r="F53" i="1" s="1"/>
  <c r="G53" i="1" s="1"/>
  <c r="H53" i="1" s="1"/>
  <c r="I53" i="1" s="1"/>
  <c r="J53" i="1" s="1"/>
  <c r="K53" i="1" s="1"/>
  <c r="L53" i="1" s="1"/>
  <c r="M53" i="1" s="1"/>
  <c r="C55" i="1"/>
  <c r="D55" i="1" s="1"/>
  <c r="E55" i="1" s="1"/>
  <c r="F55" i="1" s="1"/>
  <c r="G55" i="1" s="1"/>
  <c r="H55" i="1" s="1"/>
  <c r="I55" i="1" s="1"/>
  <c r="J55" i="1" s="1"/>
  <c r="K55" i="1" s="1"/>
  <c r="L55" i="1" s="1"/>
  <c r="M55" i="1" s="1"/>
  <c r="C56" i="1"/>
  <c r="D56" i="1"/>
  <c r="E56" i="1" s="1"/>
  <c r="F56" i="1" s="1"/>
  <c r="G56" i="1" s="1"/>
  <c r="H56" i="1" s="1"/>
  <c r="I56" i="1" s="1"/>
  <c r="J56" i="1" s="1"/>
  <c r="K56" i="1" s="1"/>
  <c r="L56" i="1" s="1"/>
  <c r="M56" i="1" s="1"/>
  <c r="C57" i="1"/>
  <c r="D57" i="1"/>
  <c r="E57" i="1" s="1"/>
  <c r="F57" i="1" s="1"/>
  <c r="G57" i="1" s="1"/>
  <c r="H57" i="1" s="1"/>
  <c r="I57" i="1" s="1"/>
  <c r="J57" i="1" s="1"/>
  <c r="K57" i="1" s="1"/>
  <c r="L57" i="1" s="1"/>
  <c r="M57" i="1" s="1"/>
  <c r="B58" i="1"/>
  <c r="C59" i="1"/>
  <c r="D59" i="1" s="1"/>
  <c r="E59" i="1" s="1"/>
  <c r="F59" i="1" s="1"/>
  <c r="G59" i="1" s="1"/>
  <c r="H59" i="1" s="1"/>
  <c r="I59" i="1" s="1"/>
  <c r="J59" i="1" s="1"/>
  <c r="K59" i="1" s="1"/>
  <c r="L59" i="1" s="1"/>
  <c r="M59" i="1" s="1"/>
  <c r="C60" i="1"/>
  <c r="D60" i="1" s="1"/>
  <c r="E60" i="1" s="1"/>
  <c r="F60" i="1" s="1"/>
  <c r="G60" i="1" s="1"/>
  <c r="H60" i="1" s="1"/>
  <c r="I60" i="1" s="1"/>
  <c r="J60" i="1" s="1"/>
  <c r="K60" i="1" s="1"/>
  <c r="L60" i="1" s="1"/>
  <c r="M60" i="1" s="1"/>
  <c r="B61" i="1"/>
  <c r="B62" i="1"/>
  <c r="B63" i="1" s="1"/>
  <c r="B66" i="1" s="1"/>
  <c r="C64" i="1"/>
  <c r="D64" i="1" s="1"/>
  <c r="E64" i="1" s="1"/>
  <c r="F64" i="1" s="1"/>
  <c r="G64" i="1" s="1"/>
  <c r="H64" i="1" s="1"/>
  <c r="I64" i="1" s="1"/>
  <c r="J64" i="1" s="1"/>
  <c r="K64" i="1" s="1"/>
  <c r="L64" i="1" s="1"/>
  <c r="M64" i="1" s="1"/>
  <c r="N67" i="1"/>
  <c r="B72" i="1"/>
  <c r="C72" i="1"/>
  <c r="C73" i="1"/>
  <c r="B74" i="1"/>
  <c r="C74" i="1"/>
  <c r="C75" i="1"/>
  <c r="C76" i="1"/>
  <c r="C77" i="1" s="1"/>
  <c r="C78" i="1" s="1"/>
  <c r="C79" i="1" s="1"/>
  <c r="C80" i="1" s="1"/>
  <c r="D39" i="1" l="1"/>
  <c r="D42" i="1" s="1"/>
  <c r="D38" i="1"/>
  <c r="E47" i="1"/>
  <c r="D58" i="1"/>
  <c r="D61" i="1" s="1"/>
  <c r="H35" i="1"/>
  <c r="H37" i="1" s="1"/>
  <c r="I31" i="1"/>
  <c r="J8" i="1"/>
  <c r="G12" i="1"/>
  <c r="H12" i="1" s="1"/>
  <c r="I12" i="1" s="1"/>
  <c r="J12" i="1" s="1"/>
  <c r="K12" i="1" s="1"/>
  <c r="L12" i="1" s="1"/>
  <c r="M12" i="1" s="1"/>
  <c r="C54" i="1"/>
  <c r="D54" i="1" s="1"/>
  <c r="E54" i="1" s="1"/>
  <c r="F54" i="1" s="1"/>
  <c r="G54" i="1" s="1"/>
  <c r="H54" i="1" s="1"/>
  <c r="I54" i="1" s="1"/>
  <c r="J54" i="1" s="1"/>
  <c r="K54" i="1" s="1"/>
  <c r="L54" i="1" s="1"/>
  <c r="M54" i="1" s="1"/>
  <c r="C58" i="1"/>
  <c r="C61" i="1" s="1"/>
  <c r="G38" i="1"/>
  <c r="G39" i="1" s="1"/>
  <c r="G42" i="1" s="1"/>
  <c r="N42" i="1" s="1"/>
  <c r="Q36" i="1" s="1"/>
  <c r="E38" i="1"/>
  <c r="E39" i="1"/>
  <c r="F22" i="1"/>
  <c r="F23" i="1" s="1"/>
  <c r="F26" i="1" s="1"/>
  <c r="F38" i="1"/>
  <c r="F39" i="1"/>
  <c r="F42" i="1" s="1"/>
  <c r="D51" i="1"/>
  <c r="E51" i="1" s="1"/>
  <c r="F51" i="1" s="1"/>
  <c r="G51" i="1" s="1"/>
  <c r="H51" i="1" s="1"/>
  <c r="I51" i="1" s="1"/>
  <c r="J51" i="1" s="1"/>
  <c r="K51" i="1" s="1"/>
  <c r="L51" i="1" s="1"/>
  <c r="M51" i="1" s="1"/>
  <c r="B38" i="1"/>
  <c r="B39" i="1" s="1"/>
  <c r="B42" i="1" s="1"/>
  <c r="H10" i="1"/>
  <c r="I10" i="1" s="1"/>
  <c r="J10" i="1" s="1"/>
  <c r="K10" i="1" s="1"/>
  <c r="L10" i="1" s="1"/>
  <c r="M10" i="1" s="1"/>
  <c r="B73" i="1"/>
  <c r="B75" i="1" s="1"/>
  <c r="H19" i="1"/>
  <c r="H21" i="1" s="1"/>
  <c r="B76" i="1"/>
  <c r="B77" i="1" s="1"/>
  <c r="B78" i="1" s="1"/>
  <c r="B79" i="1" s="1"/>
  <c r="B80" i="1" s="1"/>
  <c r="C62" i="1" l="1"/>
  <c r="C63" i="1" s="1"/>
  <c r="C66" i="1" s="1"/>
  <c r="H38" i="1"/>
  <c r="H39" i="1" s="1"/>
  <c r="H42" i="1" s="1"/>
  <c r="H22" i="1"/>
  <c r="H23" i="1"/>
  <c r="H26" i="1" s="1"/>
  <c r="G19" i="1"/>
  <c r="G21" i="1" s="1"/>
  <c r="D62" i="1"/>
  <c r="D63" i="1" s="1"/>
  <c r="D66" i="1" s="1"/>
  <c r="F47" i="1"/>
  <c r="E58" i="1"/>
  <c r="E61" i="1" s="1"/>
  <c r="I35" i="1"/>
  <c r="I37" i="1" s="1"/>
  <c r="J31" i="1"/>
  <c r="I19" i="1"/>
  <c r="I21" i="1" s="1"/>
  <c r="E42" i="1"/>
  <c r="O42" i="1"/>
  <c r="K8" i="1"/>
  <c r="J19" i="1"/>
  <c r="J21" i="1" s="1"/>
  <c r="I22" i="1" l="1"/>
  <c r="I23" i="1"/>
  <c r="I26" i="1" s="1"/>
  <c r="I38" i="1"/>
  <c r="I39" i="1" s="1"/>
  <c r="I42" i="1" s="1"/>
  <c r="J35" i="1"/>
  <c r="J37" i="1" s="1"/>
  <c r="K31" i="1"/>
  <c r="E62" i="1"/>
  <c r="E63" i="1" s="1"/>
  <c r="E66" i="1" s="1"/>
  <c r="G22" i="1"/>
  <c r="G23" i="1"/>
  <c r="G26" i="1" s="1"/>
  <c r="J22" i="1"/>
  <c r="J23" i="1"/>
  <c r="J26" i="1" s="1"/>
  <c r="G47" i="1"/>
  <c r="F58" i="1"/>
  <c r="F61" i="1" s="1"/>
  <c r="L8" i="1"/>
  <c r="K19" i="1"/>
  <c r="K21" i="1" s="1"/>
  <c r="M8" i="1" l="1"/>
  <c r="M19" i="1" s="1"/>
  <c r="M21" i="1" s="1"/>
  <c r="L19" i="1"/>
  <c r="L21" i="1" s="1"/>
  <c r="L31" i="1"/>
  <c r="K35" i="1"/>
  <c r="K37" i="1" s="1"/>
  <c r="F62" i="1"/>
  <c r="F63" i="1"/>
  <c r="F66" i="1" s="1"/>
  <c r="H47" i="1"/>
  <c r="G58" i="1"/>
  <c r="G61" i="1" s="1"/>
  <c r="J39" i="1"/>
  <c r="J42" i="1" s="1"/>
  <c r="J38" i="1"/>
  <c r="K22" i="1"/>
  <c r="K23" i="1"/>
  <c r="K26" i="1" s="1"/>
  <c r="K38" i="1" l="1"/>
  <c r="K39" i="1" s="1"/>
  <c r="K42" i="1" s="1"/>
  <c r="M31" i="1"/>
  <c r="M35" i="1" s="1"/>
  <c r="M37" i="1" s="1"/>
  <c r="L35" i="1"/>
  <c r="L37" i="1" s="1"/>
  <c r="H58" i="1"/>
  <c r="H61" i="1" s="1"/>
  <c r="I47" i="1"/>
  <c r="L22" i="1"/>
  <c r="L23" i="1" s="1"/>
  <c r="L26" i="1" s="1"/>
  <c r="G62" i="1"/>
  <c r="G63" i="1" s="1"/>
  <c r="G66" i="1" s="1"/>
  <c r="M23" i="1"/>
  <c r="M26" i="1" s="1"/>
  <c r="M22" i="1"/>
  <c r="I58" i="1" l="1"/>
  <c r="I61" i="1" s="1"/>
  <c r="J47" i="1"/>
  <c r="H62" i="1"/>
  <c r="H63" i="1" s="1"/>
  <c r="H66" i="1" s="1"/>
  <c r="L38" i="1"/>
  <c r="L39" i="1" s="1"/>
  <c r="L42" i="1" s="1"/>
  <c r="M38" i="1"/>
  <c r="M39" i="1" s="1"/>
  <c r="M42" i="1" s="1"/>
  <c r="N26" i="1"/>
  <c r="Q37" i="1" s="1"/>
  <c r="Q38" i="1" s="1"/>
  <c r="K47" i="1" l="1"/>
  <c r="J58" i="1"/>
  <c r="J61" i="1" s="1"/>
  <c r="I62" i="1"/>
  <c r="I63" i="1" s="1"/>
  <c r="I66" i="1" s="1"/>
  <c r="J62" i="1" l="1"/>
  <c r="J63" i="1" s="1"/>
  <c r="J66" i="1" s="1"/>
  <c r="L47" i="1"/>
  <c r="K58" i="1"/>
  <c r="K61" i="1" s="1"/>
  <c r="K62" i="1" l="1"/>
  <c r="K63" i="1"/>
  <c r="K66" i="1" s="1"/>
  <c r="M47" i="1"/>
  <c r="M58" i="1" s="1"/>
  <c r="M61" i="1" s="1"/>
  <c r="L58" i="1"/>
  <c r="L61" i="1" s="1"/>
  <c r="L62" i="1" l="1"/>
  <c r="L63" i="1"/>
  <c r="L66" i="1" s="1"/>
  <c r="M62" i="1"/>
  <c r="M63" i="1"/>
  <c r="M66" i="1" s="1"/>
  <c r="N6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Brea, Nicolas Martin</author>
  </authors>
  <commentList>
    <comment ref="G40" authorId="0" shapeId="0" xr:uid="{0B6A2A19-6FAA-4541-AA46-4F73D1EA0872}">
      <text>
        <r>
          <rPr>
            <b/>
            <sz val="9"/>
            <color indexed="81"/>
            <rFont val="Tahoma"/>
            <family val="2"/>
          </rPr>
          <t>Brea, Nicolas Martin:</t>
        </r>
        <r>
          <rPr>
            <sz val="9"/>
            <color indexed="81"/>
            <rFont val="Tahoma"/>
            <family val="2"/>
          </rPr>
          <t xml:space="preserve">
Igual que Dellepiane</t>
        </r>
      </text>
    </comment>
  </commentList>
</comments>
</file>

<file path=xl/sharedStrings.xml><?xml version="1.0" encoding="utf-8"?>
<sst xmlns="http://schemas.openxmlformats.org/spreadsheetml/2006/main" count="81" uniqueCount="44">
  <si>
    <t>TOTAL x Litro ($)</t>
  </si>
  <si>
    <t>Impuestos Internos 35,14%</t>
  </si>
  <si>
    <t>COSTO PRODUCTO SIN IMPUESTOS</t>
  </si>
  <si>
    <t>Costo Producción + Rentabilidad</t>
  </si>
  <si>
    <t>COSTO INSUMOS</t>
  </si>
  <si>
    <t>Indirectos</t>
  </si>
  <si>
    <t>Packaging</t>
  </si>
  <si>
    <t>Liquido</t>
  </si>
  <si>
    <t>0,75 X 6</t>
  </si>
  <si>
    <t>COSTO POR LITRO</t>
  </si>
  <si>
    <t>Peñon</t>
  </si>
  <si>
    <t>Delle</t>
  </si>
  <si>
    <t>Volumen Referencia (botellas)</t>
  </si>
  <si>
    <t>VIC/HL en USD</t>
  </si>
  <si>
    <t>COSTO LOGISTICO INSUMOS</t>
  </si>
  <si>
    <t>Año 2022 Ponderado</t>
  </si>
  <si>
    <t>Rentabilidad</t>
  </si>
  <si>
    <t xml:space="preserve">Costo Producción y Financiero </t>
  </si>
  <si>
    <t>Interlayer</t>
  </si>
  <si>
    <t>Pallet</t>
  </si>
  <si>
    <t>Servicio de BIB</t>
  </si>
  <si>
    <t>Enebro</t>
  </si>
  <si>
    <t>Coriandro</t>
  </si>
  <si>
    <t>Cardamomo</t>
  </si>
  <si>
    <t>Caja</t>
  </si>
  <si>
    <t>BIB</t>
  </si>
  <si>
    <t>Alcohol</t>
  </si>
  <si>
    <t>aceite de pomelo</t>
  </si>
  <si>
    <t>Aceite de limon</t>
  </si>
  <si>
    <t>COPACKER: PEÑON DEL AGUILA</t>
  </si>
  <si>
    <t>VIC PONDERADO</t>
  </si>
  <si>
    <t>Servicios Indirectos</t>
  </si>
  <si>
    <t>Adicional 1er Mes por Inversion Tapadora</t>
  </si>
  <si>
    <t>Insumos Packaging</t>
  </si>
  <si>
    <t>Líquido</t>
  </si>
  <si>
    <t>COSTO LOGISTICO INSUMOS (FLETE)</t>
  </si>
  <si>
    <t>Complementos</t>
  </si>
  <si>
    <t>Etiquetas Pecho y Contra</t>
  </si>
  <si>
    <t>Botella</t>
  </si>
  <si>
    <t>Tapa Pilfer</t>
  </si>
  <si>
    <t>COPACKER: DELLEPIANE</t>
  </si>
  <si>
    <t>USD 2022</t>
  </si>
  <si>
    <t>USD 2021</t>
  </si>
  <si>
    <t>Inflación Mensual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</si>
</sst>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6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1"/>
    <xf numFmtId="4" fontId="2" fillId="2" borderId="1" xfId="1" applyNumberFormat="1" applyFont="1" applyFill="1" applyBorder="1" applyAlignment="1">
      <alignment horizontal="center" vertical="center"/>
    </xf>
    <xf numFmtId="4" fontId="2" fillId="2" borderId="2" xfId="1" applyNumberFormat="1" applyFont="1" applyFill="1" applyBorder="1" applyAlignment="1">
      <alignment horizontal="center" vertical="center"/>
    </xf>
    <xf numFmtId="0" fontId="3" fillId="2" borderId="3" xfId="1" applyFont="1" applyFill="1" applyBorder="1"/>
    <xf numFmtId="4" fontId="1" fillId="0" borderId="4" xfId="1" applyNumberFormat="1" applyBorder="1" applyAlignment="1">
      <alignment horizontal="center" vertical="center"/>
    </xf>
    <xf numFmtId="4" fontId="1" fillId="0" borderId="5" xfId="1" applyNumberFormat="1" applyBorder="1" applyAlignment="1">
      <alignment horizontal="center" vertical="center"/>
    </xf>
    <xf numFmtId="0" fontId="4" fillId="0" borderId="6" xfId="1" applyFont="1" applyBorder="1"/>
    <xf numFmtId="4" fontId="2" fillId="2" borderId="4" xfId="1" applyNumberFormat="1" applyFont="1" applyFill="1" applyBorder="1" applyAlignment="1">
      <alignment horizontal="center" vertical="center"/>
    </xf>
    <xf numFmtId="4" fontId="2" fillId="2" borderId="5" xfId="1" applyNumberFormat="1" applyFont="1" applyFill="1" applyBorder="1" applyAlignment="1">
      <alignment horizontal="center" vertical="center"/>
    </xf>
    <xf numFmtId="0" fontId="3" fillId="2" borderId="7" xfId="1" applyFont="1" applyFill="1" applyBorder="1"/>
    <xf numFmtId="0" fontId="4" fillId="0" borderId="7" xfId="1" applyFont="1" applyBorder="1"/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/>
    </xf>
    <xf numFmtId="17" fontId="7" fillId="2" borderId="11" xfId="1" applyNumberFormat="1" applyFont="1" applyFill="1" applyBorder="1" applyAlignment="1">
      <alignment horizontal="center" vertical="center"/>
    </xf>
    <xf numFmtId="17" fontId="7" fillId="2" borderId="12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3" fontId="1" fillId="0" borderId="0" xfId="1" applyNumberFormat="1" applyAlignment="1">
      <alignment horizontal="center"/>
    </xf>
    <xf numFmtId="3" fontId="8" fillId="0" borderId="13" xfId="1" applyNumberFormat="1" applyFont="1" applyBorder="1" applyAlignment="1">
      <alignment horizontal="center" vertical="center"/>
    </xf>
    <xf numFmtId="3" fontId="1" fillId="0" borderId="13" xfId="1" applyNumberFormat="1" applyBorder="1" applyAlignment="1">
      <alignment horizontal="center" vertical="center"/>
    </xf>
    <xf numFmtId="0" fontId="7" fillId="4" borderId="12" xfId="1" applyFont="1" applyFill="1" applyBorder="1" applyAlignment="1">
      <alignment horizontal="center" vertical="center"/>
    </xf>
    <xf numFmtId="164" fontId="9" fillId="5" borderId="0" xfId="1" applyNumberFormat="1" applyFont="1" applyFill="1" applyAlignment="1">
      <alignment horizontal="center"/>
    </xf>
    <xf numFmtId="0" fontId="8" fillId="0" borderId="13" xfId="1" applyFon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0" fillId="6" borderId="0" xfId="1" applyFont="1" applyFill="1" applyAlignment="1">
      <alignment horizontal="center"/>
    </xf>
    <xf numFmtId="4" fontId="11" fillId="2" borderId="13" xfId="1" applyNumberFormat="1" applyFont="1" applyFill="1" applyBorder="1" applyAlignment="1">
      <alignment horizontal="center" vertical="center"/>
    </xf>
    <xf numFmtId="4" fontId="12" fillId="2" borderId="13" xfId="1" applyNumberFormat="1" applyFont="1" applyFill="1" applyBorder="1" applyAlignment="1">
      <alignment horizontal="center" vertical="center"/>
    </xf>
    <xf numFmtId="4" fontId="8" fillId="0" borderId="11" xfId="1" applyNumberFormat="1" applyFont="1" applyBorder="1" applyAlignment="1">
      <alignment horizontal="center" vertical="center"/>
    </xf>
    <xf numFmtId="4" fontId="8" fillId="0" borderId="13" xfId="1" applyNumberFormat="1" applyFont="1" applyBorder="1" applyAlignment="1">
      <alignment horizontal="center" vertical="center"/>
    </xf>
    <xf numFmtId="4" fontId="13" fillId="0" borderId="12" xfId="1" applyNumberFormat="1" applyFont="1" applyBorder="1" applyAlignment="1">
      <alignment horizontal="center" vertical="center"/>
    </xf>
    <xf numFmtId="4" fontId="11" fillId="2" borderId="11" xfId="1" applyNumberFormat="1" applyFont="1" applyFill="1" applyBorder="1" applyAlignment="1">
      <alignment horizontal="center" vertical="center"/>
    </xf>
    <xf numFmtId="4" fontId="12" fillId="2" borderId="12" xfId="1" applyNumberFormat="1" applyFont="1" applyFill="1" applyBorder="1" applyAlignment="1">
      <alignment horizontal="center" vertical="center"/>
    </xf>
    <xf numFmtId="4" fontId="8" fillId="0" borderId="1" xfId="1" applyNumberFormat="1" applyFont="1" applyBorder="1" applyAlignment="1">
      <alignment horizontal="center" vertical="center"/>
    </xf>
    <xf numFmtId="4" fontId="8" fillId="0" borderId="14" xfId="1" applyNumberFormat="1" applyFont="1" applyBorder="1" applyAlignment="1">
      <alignment horizontal="center" vertical="center"/>
    </xf>
    <xf numFmtId="4" fontId="13" fillId="0" borderId="2" xfId="1" applyNumberFormat="1" applyFont="1" applyBorder="1" applyAlignment="1">
      <alignment horizontal="center" vertical="center"/>
    </xf>
    <xf numFmtId="4" fontId="8" fillId="0" borderId="8" xfId="1" applyNumberFormat="1" applyFont="1" applyBorder="1" applyAlignment="1">
      <alignment horizontal="center" vertical="center"/>
    </xf>
    <xf numFmtId="4" fontId="8" fillId="0" borderId="15" xfId="1" applyNumberFormat="1" applyFont="1" applyBorder="1" applyAlignment="1">
      <alignment horizontal="center" vertical="center"/>
    </xf>
    <xf numFmtId="4" fontId="13" fillId="0" borderId="9" xfId="1" applyNumberFormat="1" applyFont="1" applyBorder="1" applyAlignment="1">
      <alignment horizontal="center" vertical="center"/>
    </xf>
    <xf numFmtId="4" fontId="8" fillId="0" borderId="4" xfId="1" applyNumberFormat="1" applyFont="1" applyBorder="1" applyAlignment="1">
      <alignment horizontal="center" vertical="center"/>
    </xf>
    <xf numFmtId="4" fontId="8" fillId="0" borderId="16" xfId="1" applyNumberFormat="1" applyFont="1" applyBorder="1" applyAlignment="1">
      <alignment horizontal="center" vertical="center"/>
    </xf>
    <xf numFmtId="4" fontId="13" fillId="0" borderId="5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17" fontId="7" fillId="0" borderId="17" xfId="1" applyNumberFormat="1" applyFont="1" applyBorder="1" applyAlignment="1">
      <alignment horizontal="center" vertical="center"/>
    </xf>
    <xf numFmtId="17" fontId="7" fillId="0" borderId="18" xfId="1" applyNumberFormat="1" applyFont="1" applyBorder="1" applyAlignment="1">
      <alignment horizontal="center" vertical="center"/>
    </xf>
    <xf numFmtId="0" fontId="2" fillId="7" borderId="0" xfId="1" applyFont="1" applyFill="1" applyAlignment="1">
      <alignment horizontal="center"/>
    </xf>
    <xf numFmtId="3" fontId="8" fillId="0" borderId="11" xfId="1" applyNumberFormat="1" applyFont="1" applyBorder="1" applyAlignment="1">
      <alignment horizontal="center" vertical="center"/>
    </xf>
    <xf numFmtId="4" fontId="2" fillId="2" borderId="19" xfId="1" applyNumberFormat="1" applyFont="1" applyFill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4" fontId="2" fillId="2" borderId="13" xfId="1" applyNumberFormat="1" applyFont="1" applyFill="1" applyBorder="1" applyAlignment="1">
      <alignment horizontal="center" vertical="center"/>
    </xf>
    <xf numFmtId="4" fontId="2" fillId="2" borderId="12" xfId="1" applyNumberFormat="1" applyFont="1" applyFill="1" applyBorder="1" applyAlignment="1">
      <alignment horizontal="center" vertical="center"/>
    </xf>
    <xf numFmtId="4" fontId="11" fillId="2" borderId="12" xfId="1" applyNumberFormat="1" applyFont="1" applyFill="1" applyBorder="1" applyAlignment="1">
      <alignment horizontal="center" vertical="center"/>
    </xf>
    <xf numFmtId="4" fontId="8" fillId="0" borderId="20" xfId="1" applyNumberFormat="1" applyFont="1" applyBorder="1" applyAlignment="1">
      <alignment horizontal="center" vertical="center"/>
    </xf>
    <xf numFmtId="4" fontId="8" fillId="0" borderId="21" xfId="1" applyNumberFormat="1" applyFont="1" applyBorder="1" applyAlignment="1">
      <alignment horizontal="center" vertical="center"/>
    </xf>
    <xf numFmtId="4" fontId="13" fillId="0" borderId="21" xfId="1" applyNumberFormat="1" applyFont="1" applyBorder="1" applyAlignment="1">
      <alignment horizontal="center" vertical="center"/>
    </xf>
    <xf numFmtId="4" fontId="8" fillId="0" borderId="22" xfId="1" applyNumberFormat="1" applyFont="1" applyBorder="1" applyAlignment="1">
      <alignment horizontal="center" vertical="center"/>
    </xf>
    <xf numFmtId="10" fontId="1" fillId="0" borderId="0" xfId="1" applyNumberFormat="1"/>
    <xf numFmtId="9" fontId="1" fillId="0" borderId="0" xfId="1" applyNumberFormat="1"/>
    <xf numFmtId="4" fontId="8" fillId="0" borderId="23" xfId="1" applyNumberFormat="1" applyFont="1" applyBorder="1" applyAlignment="1">
      <alignment horizontal="center" vertical="center"/>
    </xf>
    <xf numFmtId="4" fontId="8" fillId="0" borderId="24" xfId="1" applyNumberFormat="1" applyFont="1" applyBorder="1" applyAlignment="1">
      <alignment horizontal="center" vertical="center"/>
    </xf>
    <xf numFmtId="4" fontId="13" fillId="0" borderId="24" xfId="1" applyNumberFormat="1" applyFont="1" applyBorder="1" applyAlignment="1">
      <alignment horizontal="center" vertical="center"/>
    </xf>
    <xf numFmtId="4" fontId="8" fillId="0" borderId="25" xfId="1" applyNumberFormat="1" applyFont="1" applyBorder="1" applyAlignment="1">
      <alignment horizontal="center" vertical="center"/>
    </xf>
    <xf numFmtId="4" fontId="1" fillId="0" borderId="19" xfId="1" applyNumberFormat="1" applyBorder="1" applyAlignment="1">
      <alignment horizontal="center" vertical="center"/>
    </xf>
    <xf numFmtId="4" fontId="13" fillId="0" borderId="16" xfId="1" applyNumberFormat="1" applyFont="1" applyBorder="1" applyAlignment="1">
      <alignment horizontal="center" vertical="center"/>
    </xf>
    <xf numFmtId="4" fontId="8" fillId="0" borderId="5" xfId="1" applyNumberFormat="1" applyFont="1" applyBorder="1" applyAlignment="1">
      <alignment horizontal="center" vertical="center"/>
    </xf>
    <xf numFmtId="4" fontId="13" fillId="0" borderId="15" xfId="1" applyNumberFormat="1" applyFont="1" applyBorder="1" applyAlignment="1">
      <alignment horizontal="center" vertical="center"/>
    </xf>
    <xf numFmtId="4" fontId="8" fillId="0" borderId="9" xfId="1" applyNumberFormat="1" applyFont="1" applyBorder="1" applyAlignment="1">
      <alignment horizontal="center" vertical="center"/>
    </xf>
    <xf numFmtId="0" fontId="4" fillId="0" borderId="26" xfId="1" applyFont="1" applyBorder="1"/>
    <xf numFmtId="0" fontId="5" fillId="0" borderId="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7" fontId="7" fillId="0" borderId="8" xfId="1" applyNumberFormat="1" applyFont="1" applyBorder="1" applyAlignment="1">
      <alignment horizontal="center" vertical="center"/>
    </xf>
    <xf numFmtId="17" fontId="7" fillId="0" borderId="15" xfId="1" applyNumberFormat="1" applyFont="1" applyBorder="1" applyAlignment="1">
      <alignment horizontal="center" vertical="center"/>
    </xf>
    <xf numFmtId="17" fontId="7" fillId="0" borderId="9" xfId="1" applyNumberFormat="1" applyFont="1" applyBorder="1" applyAlignment="1">
      <alignment horizontal="center" vertical="center"/>
    </xf>
    <xf numFmtId="3" fontId="1" fillId="0" borderId="11" xfId="1" applyNumberForma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4" fontId="1" fillId="0" borderId="24" xfId="1" applyNumberFormat="1" applyBorder="1" applyAlignment="1">
      <alignment horizontal="center" vertical="center"/>
    </xf>
    <xf numFmtId="4" fontId="1" fillId="0" borderId="25" xfId="1" applyNumberFormat="1" applyBorder="1" applyAlignment="1">
      <alignment horizontal="center" vertical="center"/>
    </xf>
    <xf numFmtId="4" fontId="1" fillId="0" borderId="16" xfId="1" applyNumberFormat="1" applyBorder="1" applyAlignment="1">
      <alignment horizontal="center" vertical="center"/>
    </xf>
    <xf numFmtId="4" fontId="1" fillId="0" borderId="15" xfId="1" applyNumberFormat="1" applyBorder="1" applyAlignment="1">
      <alignment horizontal="center" vertical="center"/>
    </xf>
    <xf numFmtId="4" fontId="1" fillId="0" borderId="9" xfId="1" applyNumberFormat="1" applyBorder="1" applyAlignment="1">
      <alignment horizontal="center" vertical="center"/>
    </xf>
    <xf numFmtId="4" fontId="1" fillId="0" borderId="27" xfId="1" applyNumberFormat="1" applyBorder="1" applyAlignment="1">
      <alignment horizontal="center" vertical="center"/>
    </xf>
    <xf numFmtId="4" fontId="1" fillId="0" borderId="28" xfId="1" applyNumberFormat="1" applyBorder="1" applyAlignment="1">
      <alignment horizontal="center" vertical="center"/>
    </xf>
    <xf numFmtId="165" fontId="0" fillId="0" borderId="0" xfId="2" applyNumberFormat="1" applyFont="1"/>
    <xf numFmtId="9" fontId="0" fillId="0" borderId="0" xfId="2" applyFont="1"/>
    <xf numFmtId="2" fontId="2" fillId="0" borderId="0" xfId="1" applyNumberFormat="1" applyFont="1"/>
    <xf numFmtId="0" fontId="2" fillId="0" borderId="0" xfId="1" applyFont="1"/>
    <xf numFmtId="10" fontId="2" fillId="0" borderId="0" xfId="1" applyNumberFormat="1" applyFont="1"/>
  </cellXfs>
  <cellStyles count="3">
    <cellStyle name="Normal" xfId="0" builtinId="0"/>
    <cellStyle name="Normal 2" xfId="1" xr:uid="{A19AAC4A-9A8D-4620-9ECB-063EB473E84C}"/>
    <cellStyle name="Porcentaje 2" xfId="2" xr:uid="{871CDAAC-3156-452A-AA8F-D1C133BF66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-my.sharepoint.com/personal/nicobrea_quilmes_com_ar/Documents/Beyond%20Beer/VIC/VIC%202022%20Adyacencias%20-%20Templo%20del%20V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dra 1930"/>
      <sheetName val="Isidra"/>
      <sheetName val="Del Valle"/>
      <sheetName val="Bosque Original"/>
      <sheetName val="Rider Original"/>
      <sheetName val="Bosque Nativo"/>
      <sheetName val="Rider"/>
      <sheetName val="Patagonia Ginkgo"/>
      <sheetName val="Mikes"/>
      <sheetName val="Spritzer"/>
      <sheetName val="Tratenfu"/>
    </sheetNames>
    <sheetDataSet>
      <sheetData sheetId="0">
        <row r="1">
          <cell r="B1">
            <v>3.7499999999999999E-2</v>
          </cell>
        </row>
        <row r="3">
          <cell r="B3">
            <v>125.22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65E0-8B55-4518-A1F8-9A6709988B37}">
  <sheetPr>
    <pageSetUpPr fitToPage="1"/>
  </sheetPr>
  <dimension ref="A1:Q80"/>
  <sheetViews>
    <sheetView tabSelected="1" topLeftCell="A4" workbookViewId="0">
      <selection activeCell="G14" sqref="G14"/>
    </sheetView>
  </sheetViews>
  <sheetFormatPr baseColWidth="10" defaultColWidth="12.6640625" defaultRowHeight="15" outlineLevelRow="1" x14ac:dyDescent="0.25"/>
  <cols>
    <col min="1" max="1" width="41.83203125" style="1" bestFit="1" customWidth="1"/>
    <col min="2" max="13" width="9.83203125" style="1" customWidth="1"/>
    <col min="14" max="14" width="21.5" style="1" customWidth="1"/>
    <col min="15" max="16384" width="12.6640625" style="1"/>
  </cols>
  <sheetData>
    <row r="1" spans="1:13" x14ac:dyDescent="0.25">
      <c r="A1" s="88" t="s">
        <v>43</v>
      </c>
      <c r="B1" s="89">
        <f>'[1]Sidra 1930'!B1</f>
        <v>3.7499999999999999E-2</v>
      </c>
    </row>
    <row r="2" spans="1:13" x14ac:dyDescent="0.25">
      <c r="A2" s="88" t="s">
        <v>42</v>
      </c>
      <c r="B2" s="87">
        <v>102.6</v>
      </c>
    </row>
    <row r="3" spans="1:13" x14ac:dyDescent="0.25">
      <c r="A3" s="88" t="s">
        <v>41</v>
      </c>
      <c r="B3" s="87">
        <f>'[1]Sidra 1930'!B3</f>
        <v>125.22</v>
      </c>
      <c r="D3" s="86">
        <f>1-(B3/B2)</f>
        <v>-0.22046783625731003</v>
      </c>
      <c r="E3" s="85">
        <f>(D3*(-1))/12</f>
        <v>1.8372319688109168E-2</v>
      </c>
    </row>
    <row r="4" spans="1:13" ht="15.75" thickBot="1" x14ac:dyDescent="0.3"/>
    <row r="5" spans="1:13" x14ac:dyDescent="0.25">
      <c r="A5" s="47" t="s">
        <v>40</v>
      </c>
      <c r="B5" s="75">
        <v>44562</v>
      </c>
      <c r="C5" s="74">
        <v>44593</v>
      </c>
      <c r="D5" s="74">
        <v>44621</v>
      </c>
      <c r="E5" s="74">
        <v>44652</v>
      </c>
      <c r="F5" s="74">
        <v>44682</v>
      </c>
      <c r="G5" s="74">
        <v>44713</v>
      </c>
      <c r="H5" s="74">
        <v>44743</v>
      </c>
      <c r="I5" s="74">
        <v>44774</v>
      </c>
      <c r="J5" s="74">
        <v>44805</v>
      </c>
      <c r="K5" s="74">
        <v>44835</v>
      </c>
      <c r="L5" s="74">
        <v>44866</v>
      </c>
      <c r="M5" s="73">
        <v>44896</v>
      </c>
    </row>
    <row r="6" spans="1:13" ht="15.75" thickBot="1" x14ac:dyDescent="0.3">
      <c r="A6" s="14" t="s">
        <v>9</v>
      </c>
      <c r="B6" s="72" t="s">
        <v>8</v>
      </c>
      <c r="C6" s="71" t="str">
        <f>B6</f>
        <v>0,75 X 6</v>
      </c>
      <c r="D6" s="71" t="str">
        <f>C6</f>
        <v>0,75 X 6</v>
      </c>
      <c r="E6" s="71" t="str">
        <f>D6</f>
        <v>0,75 X 6</v>
      </c>
      <c r="F6" s="71" t="str">
        <f>E6</f>
        <v>0,75 X 6</v>
      </c>
      <c r="G6" s="71" t="str">
        <f>F6</f>
        <v>0,75 X 6</v>
      </c>
      <c r="H6" s="71" t="str">
        <f>G6</f>
        <v>0,75 X 6</v>
      </c>
      <c r="I6" s="71" t="str">
        <f>H6</f>
        <v>0,75 X 6</v>
      </c>
      <c r="J6" s="71" t="str">
        <f>I6</f>
        <v>0,75 X 6</v>
      </c>
      <c r="K6" s="71" t="str">
        <f>J6</f>
        <v>0,75 X 6</v>
      </c>
      <c r="L6" s="71" t="str">
        <f>K6</f>
        <v>0,75 X 6</v>
      </c>
      <c r="M6" s="70" t="str">
        <f>L6</f>
        <v>0,75 X 6</v>
      </c>
    </row>
    <row r="7" spans="1:13" ht="15.75" hidden="1" customHeight="1" outlineLevel="1" x14ac:dyDescent="0.25">
      <c r="A7" s="11" t="s">
        <v>26</v>
      </c>
      <c r="B7" s="84"/>
      <c r="C7" s="83"/>
      <c r="D7" s="83"/>
      <c r="E7" s="83"/>
      <c r="F7" s="83"/>
      <c r="G7" s="83">
        <f>F7*(1+$B$1)</f>
        <v>0</v>
      </c>
      <c r="H7" s="83">
        <f>G7*(1+$B$1)</f>
        <v>0</v>
      </c>
      <c r="I7" s="83">
        <f>H7*(1+$B$1)</f>
        <v>0</v>
      </c>
      <c r="J7" s="83">
        <f>I7*(1+$B$1)</f>
        <v>0</v>
      </c>
      <c r="K7" s="83">
        <f>J7*(1+$B$1)</f>
        <v>0</v>
      </c>
      <c r="L7" s="83">
        <f>K7*(1+$B$1)</f>
        <v>0</v>
      </c>
      <c r="M7" s="83">
        <f>L7*(1+$B$1)</f>
        <v>0</v>
      </c>
    </row>
    <row r="8" spans="1:13" ht="15.75" hidden="1" customHeight="1" outlineLevel="1" x14ac:dyDescent="0.25">
      <c r="A8" s="11" t="s">
        <v>28</v>
      </c>
      <c r="B8" s="6"/>
      <c r="C8" s="80"/>
      <c r="D8" s="80"/>
      <c r="E8" s="80"/>
      <c r="F8" s="80"/>
      <c r="G8" s="80">
        <f>F8*(1+$B$1)</f>
        <v>0</v>
      </c>
      <c r="H8" s="80">
        <f>G8*(1+$B$1)</f>
        <v>0</v>
      </c>
      <c r="I8" s="80">
        <f>H8*(1+$B$1)</f>
        <v>0</v>
      </c>
      <c r="J8" s="80">
        <f>I8*(1+$B$1)</f>
        <v>0</v>
      </c>
      <c r="K8" s="80">
        <f>J8*(1+$B$1)</f>
        <v>0</v>
      </c>
      <c r="L8" s="80">
        <f>K8*(1+$B$1)</f>
        <v>0</v>
      </c>
      <c r="M8" s="80">
        <f>L8*(1+$B$1)</f>
        <v>0</v>
      </c>
    </row>
    <row r="9" spans="1:13" ht="15.75" hidden="1" customHeight="1" outlineLevel="1" x14ac:dyDescent="0.25">
      <c r="A9" s="11" t="s">
        <v>27</v>
      </c>
      <c r="B9" s="6"/>
      <c r="C9" s="80"/>
      <c r="D9" s="80"/>
      <c r="E9" s="80"/>
      <c r="F9" s="80"/>
      <c r="G9" s="80">
        <f>F9*(1+$B$1)</f>
        <v>0</v>
      </c>
      <c r="H9" s="80">
        <f>G9*(1+$B$1)</f>
        <v>0</v>
      </c>
      <c r="I9" s="80">
        <f>H9*(1+$B$1)</f>
        <v>0</v>
      </c>
      <c r="J9" s="80">
        <f>I9*(1+$B$1)</f>
        <v>0</v>
      </c>
      <c r="K9" s="80">
        <f>J9*(1+$B$1)</f>
        <v>0</v>
      </c>
      <c r="L9" s="80">
        <f>K9*(1+$B$1)</f>
        <v>0</v>
      </c>
      <c r="M9" s="80">
        <f>L9*(1+$B$1)</f>
        <v>0</v>
      </c>
    </row>
    <row r="10" spans="1:13" ht="15.75" hidden="1" customHeight="1" outlineLevel="1" x14ac:dyDescent="0.25">
      <c r="A10" s="11" t="s">
        <v>23</v>
      </c>
      <c r="B10" s="6"/>
      <c r="C10" s="80"/>
      <c r="D10" s="80"/>
      <c r="E10" s="80"/>
      <c r="F10" s="80"/>
      <c r="G10" s="80">
        <f>F10*(1+$B$1)</f>
        <v>0</v>
      </c>
      <c r="H10" s="80">
        <f>G10*(1+$B$1)</f>
        <v>0</v>
      </c>
      <c r="I10" s="80">
        <f>H10*(1+$B$1)</f>
        <v>0</v>
      </c>
      <c r="J10" s="80">
        <f>I10*(1+$B$1)</f>
        <v>0</v>
      </c>
      <c r="K10" s="80">
        <f>J10*(1+$B$1)</f>
        <v>0</v>
      </c>
      <c r="L10" s="80">
        <f>K10*(1+$B$1)</f>
        <v>0</v>
      </c>
      <c r="M10" s="80">
        <f>L10*(1+$B$1)</f>
        <v>0</v>
      </c>
    </row>
    <row r="11" spans="1:13" ht="15.75" hidden="1" customHeight="1" outlineLevel="1" x14ac:dyDescent="0.25">
      <c r="A11" s="11" t="s">
        <v>22</v>
      </c>
      <c r="B11" s="6"/>
      <c r="C11" s="80"/>
      <c r="D11" s="80"/>
      <c r="E11" s="80"/>
      <c r="F11" s="80"/>
      <c r="G11" s="80">
        <f>F11*(1+$B$1)</f>
        <v>0</v>
      </c>
      <c r="H11" s="80">
        <f>G11*(1+$B$1)</f>
        <v>0</v>
      </c>
      <c r="I11" s="80">
        <f>H11*(1+$B$1)</f>
        <v>0</v>
      </c>
      <c r="J11" s="80">
        <f>I11*(1+$B$1)</f>
        <v>0</v>
      </c>
      <c r="K11" s="80">
        <f>J11*(1+$B$1)</f>
        <v>0</v>
      </c>
      <c r="L11" s="80">
        <f>K11*(1+$B$1)</f>
        <v>0</v>
      </c>
      <c r="M11" s="80">
        <f>L11*(1+$B$1)</f>
        <v>0</v>
      </c>
    </row>
    <row r="12" spans="1:13" ht="15.75" hidden="1" customHeight="1" outlineLevel="1" thickBot="1" x14ac:dyDescent="0.3">
      <c r="A12" s="11" t="s">
        <v>21</v>
      </c>
      <c r="B12" s="79"/>
      <c r="C12" s="78"/>
      <c r="D12" s="78"/>
      <c r="E12" s="78"/>
      <c r="F12" s="78"/>
      <c r="G12" s="78">
        <f>F12*(1+$E$3)</f>
        <v>0</v>
      </c>
      <c r="H12" s="78">
        <f>G12*(1+$E$3)</f>
        <v>0</v>
      </c>
      <c r="I12" s="78">
        <f>H12*(1+$E$3)</f>
        <v>0</v>
      </c>
      <c r="J12" s="78">
        <f>I12*(1+$E$3)</f>
        <v>0</v>
      </c>
      <c r="K12" s="78">
        <f>J12*(1+$E$3)</f>
        <v>0</v>
      </c>
      <c r="L12" s="78">
        <f>K12*(1+$E$3)</f>
        <v>0</v>
      </c>
      <c r="M12" s="78">
        <f>L12*(1+$E$3)</f>
        <v>0</v>
      </c>
    </row>
    <row r="13" spans="1:13" ht="15.75" customHeight="1" collapsed="1" x14ac:dyDescent="0.25">
      <c r="A13" s="69" t="s">
        <v>34</v>
      </c>
      <c r="B13" s="82"/>
      <c r="C13" s="81"/>
      <c r="D13" s="81"/>
      <c r="E13" s="81"/>
      <c r="F13" s="81"/>
      <c r="G13" s="67">
        <f>33/0.75</f>
        <v>44</v>
      </c>
      <c r="H13" s="37">
        <f>G13*(1+$B$1)</f>
        <v>45.650000000000006</v>
      </c>
      <c r="I13" s="37">
        <f>H13*(1+$B$1)</f>
        <v>47.361875000000012</v>
      </c>
      <c r="J13" s="37">
        <f>I13*(1+$B$1)</f>
        <v>49.137945312500015</v>
      </c>
      <c r="K13" s="37">
        <f>J13*(1+$B$1)</f>
        <v>50.980618261718767</v>
      </c>
      <c r="L13" s="37">
        <f>K13*(1+$B$1)</f>
        <v>52.892391446533225</v>
      </c>
      <c r="M13" s="36">
        <f>L13*(1+$B$1)</f>
        <v>54.875856125778228</v>
      </c>
    </row>
    <row r="14" spans="1:13" x14ac:dyDescent="0.25">
      <c r="A14" s="11" t="s">
        <v>39</v>
      </c>
      <c r="B14" s="6"/>
      <c r="C14" s="80"/>
      <c r="D14" s="80"/>
      <c r="E14" s="80"/>
      <c r="F14" s="80"/>
      <c r="G14" s="65">
        <f>7.32/0.75</f>
        <v>9.76</v>
      </c>
      <c r="H14" s="40">
        <f>G14*(1+$B$1)</f>
        <v>10.126000000000001</v>
      </c>
      <c r="I14" s="40">
        <f>H14*(1+$B$1)</f>
        <v>10.505725000000002</v>
      </c>
      <c r="J14" s="40">
        <f>I14*(1+$B$1)</f>
        <v>10.899689687500002</v>
      </c>
      <c r="K14" s="40">
        <f>J14*(1+$B$1)</f>
        <v>11.308428050781254</v>
      </c>
      <c r="L14" s="40">
        <f>K14*(1+$B$1)</f>
        <v>11.732494102685552</v>
      </c>
      <c r="M14" s="39">
        <f>L14*(1+$B$1)</f>
        <v>12.172462631536261</v>
      </c>
    </row>
    <row r="15" spans="1:13" x14ac:dyDescent="0.25">
      <c r="A15" s="11" t="s">
        <v>38</v>
      </c>
      <c r="B15" s="6"/>
      <c r="C15" s="80"/>
      <c r="D15" s="80"/>
      <c r="E15" s="80"/>
      <c r="F15" s="80"/>
      <c r="G15" s="65">
        <f>39.3/0.75</f>
        <v>52.4</v>
      </c>
      <c r="H15" s="40">
        <f>G15*(1+$B$1)</f>
        <v>54.365000000000002</v>
      </c>
      <c r="I15" s="40">
        <f>H15*(1+$B$1)</f>
        <v>56.403687500000004</v>
      </c>
      <c r="J15" s="40">
        <f>I15*(1+$B$1)</f>
        <v>58.518825781250008</v>
      </c>
      <c r="K15" s="40">
        <f>J15*(1+$B$1)</f>
        <v>60.713281748046889</v>
      </c>
      <c r="L15" s="40">
        <f>K15*(1+$B$1)</f>
        <v>62.990029813598653</v>
      </c>
      <c r="M15" s="39">
        <f>L15*(1+$B$1)</f>
        <v>65.352155931608607</v>
      </c>
    </row>
    <row r="16" spans="1:13" x14ac:dyDescent="0.25">
      <c r="A16" s="11" t="s">
        <v>24</v>
      </c>
      <c r="B16" s="6"/>
      <c r="C16" s="80"/>
      <c r="D16" s="80"/>
      <c r="E16" s="80"/>
      <c r="F16" s="80"/>
      <c r="G16" s="65">
        <f>6.55/0.75</f>
        <v>8.7333333333333325</v>
      </c>
      <c r="H16" s="40">
        <f>G16*(1+$B$1)</f>
        <v>9.0608333333333331</v>
      </c>
      <c r="I16" s="40">
        <f>H16*(1+$B$1)</f>
        <v>9.4006145833333346</v>
      </c>
      <c r="J16" s="40">
        <f>I16*(1+$B$1)</f>
        <v>9.7531376302083359</v>
      </c>
      <c r="K16" s="40">
        <f>J16*(1+$B$1)</f>
        <v>10.118880291341149</v>
      </c>
      <c r="L16" s="40">
        <f>K16*(1+$B$1)</f>
        <v>10.498338302266443</v>
      </c>
      <c r="M16" s="39">
        <f>L16*(1+$B$1)</f>
        <v>10.892025988601436</v>
      </c>
    </row>
    <row r="17" spans="1:14" x14ac:dyDescent="0.25">
      <c r="A17" s="11" t="s">
        <v>37</v>
      </c>
      <c r="B17" s="6"/>
      <c r="C17" s="80"/>
      <c r="D17" s="80"/>
      <c r="E17" s="80"/>
      <c r="F17" s="80"/>
      <c r="G17" s="65">
        <f>6/0.75</f>
        <v>8</v>
      </c>
      <c r="H17" s="40">
        <f>G17*(1+$B$1)</f>
        <v>8.3000000000000007</v>
      </c>
      <c r="I17" s="40">
        <f>H17*(1+$B$1)</f>
        <v>8.6112500000000018</v>
      </c>
      <c r="J17" s="40">
        <f>I17*(1+$B$1)</f>
        <v>8.9341718750000023</v>
      </c>
      <c r="K17" s="40">
        <f>J17*(1+$B$1)</f>
        <v>9.2692033203125028</v>
      </c>
      <c r="L17" s="40">
        <f>K17*(1+$B$1)</f>
        <v>9.616798444824223</v>
      </c>
      <c r="M17" s="39">
        <f>L17*(1+$B$1)</f>
        <v>9.9774283865051316</v>
      </c>
    </row>
    <row r="18" spans="1:14" ht="15.75" thickBot="1" x14ac:dyDescent="0.3">
      <c r="A18" s="11" t="s">
        <v>36</v>
      </c>
      <c r="B18" s="79"/>
      <c r="C18" s="78"/>
      <c r="D18" s="78"/>
      <c r="E18" s="78"/>
      <c r="F18" s="78"/>
      <c r="G18" s="62">
        <f>2/0.75</f>
        <v>2.6666666666666665</v>
      </c>
      <c r="H18" s="61">
        <f>G18*(1+$B$1)</f>
        <v>2.7666666666666666</v>
      </c>
      <c r="I18" s="61">
        <f>H18*(1+$B$1)</f>
        <v>2.8704166666666668</v>
      </c>
      <c r="J18" s="61">
        <f>I18*(1+$B$1)</f>
        <v>2.978057291666667</v>
      </c>
      <c r="K18" s="61">
        <f>J18*(1+$B$1)</f>
        <v>3.0897344401041673</v>
      </c>
      <c r="L18" s="61">
        <f>K18*(1+$B$1)</f>
        <v>3.2055994816080737</v>
      </c>
      <c r="M18" s="60">
        <f>L18*(1+$B$1)</f>
        <v>3.3258094621683769</v>
      </c>
    </row>
    <row r="19" spans="1:14" ht="15.75" thickBot="1" x14ac:dyDescent="0.3">
      <c r="A19" s="10" t="s">
        <v>4</v>
      </c>
      <c r="B19" s="53">
        <f>+SUM(B8:B18)</f>
        <v>0</v>
      </c>
      <c r="C19" s="26">
        <f>+SUM(C8:C18)</f>
        <v>0</v>
      </c>
      <c r="D19" s="26">
        <f>+SUM(D8:D18)</f>
        <v>0</v>
      </c>
      <c r="E19" s="26">
        <f>+SUM(E8:E18)</f>
        <v>0</v>
      </c>
      <c r="F19" s="26">
        <f>+SUM(F8:F18)</f>
        <v>0</v>
      </c>
      <c r="G19" s="27">
        <f>+SUM(G8:G18)</f>
        <v>125.56</v>
      </c>
      <c r="H19" s="26">
        <f>+SUM(H8:H18)</f>
        <v>130.26850000000002</v>
      </c>
      <c r="I19" s="26">
        <f>+SUM(I8:I18)</f>
        <v>135.15356875000003</v>
      </c>
      <c r="J19" s="26">
        <f>+SUM(J8:J18)</f>
        <v>140.22182757812502</v>
      </c>
      <c r="K19" s="26">
        <f>+SUM(K8:K18)</f>
        <v>145.48014611230474</v>
      </c>
      <c r="L19" s="26">
        <f>+SUM(L8:L18)</f>
        <v>150.93565159151615</v>
      </c>
      <c r="M19" s="31">
        <f>+SUM(M8:M18)</f>
        <v>156.59573852619803</v>
      </c>
    </row>
    <row r="20" spans="1:14" ht="15.75" thickBot="1" x14ac:dyDescent="0.3">
      <c r="A20" s="11" t="s">
        <v>3</v>
      </c>
      <c r="B20" s="57"/>
      <c r="C20" s="55"/>
      <c r="D20" s="55"/>
      <c r="E20" s="55"/>
      <c r="F20" s="55"/>
      <c r="G20" s="56">
        <f>141.63/0.75</f>
        <v>188.84</v>
      </c>
      <c r="H20" s="55">
        <f>+G20*1.03</f>
        <v>194.5052</v>
      </c>
      <c r="I20" s="55">
        <f>+H20*1.03</f>
        <v>200.34035600000001</v>
      </c>
      <c r="J20" s="55">
        <f>+I20*1.03</f>
        <v>206.35056668000001</v>
      </c>
      <c r="K20" s="55">
        <f>+J20*1.03</f>
        <v>212.54108368040002</v>
      </c>
      <c r="L20" s="55">
        <f>+K20*1.03</f>
        <v>218.91731619081202</v>
      </c>
      <c r="M20" s="54">
        <f>+L20*1.03</f>
        <v>225.48483567653639</v>
      </c>
    </row>
    <row r="21" spans="1:14" ht="15.75" thickBot="1" x14ac:dyDescent="0.3">
      <c r="A21" s="10" t="s">
        <v>2</v>
      </c>
      <c r="B21" s="53">
        <f>+SUM(B19:B20)</f>
        <v>0</v>
      </c>
      <c r="C21" s="26">
        <f>+SUM(C19:C20)</f>
        <v>0</v>
      </c>
      <c r="D21" s="26">
        <f>+SUM(D19:D20)</f>
        <v>0</v>
      </c>
      <c r="E21" s="26">
        <f>+SUM(E19:E20)</f>
        <v>0</v>
      </c>
      <c r="F21" s="26">
        <f>+SUM(F19:F20)</f>
        <v>0</v>
      </c>
      <c r="G21" s="27">
        <f>+SUM(G19:G20)</f>
        <v>314.39999999999998</v>
      </c>
      <c r="H21" s="26">
        <f>+SUM(H19:H20)</f>
        <v>324.77370000000002</v>
      </c>
      <c r="I21" s="26">
        <f>+SUM(I19:I20)</f>
        <v>335.49392475000002</v>
      </c>
      <c r="J21" s="26">
        <f>+SUM(J19:J20)</f>
        <v>346.57239425812503</v>
      </c>
      <c r="K21" s="26">
        <f>+SUM(K19:K20)</f>
        <v>358.02122979270473</v>
      </c>
      <c r="L21" s="26">
        <f>+SUM(L19:L20)</f>
        <v>369.85296778232816</v>
      </c>
      <c r="M21" s="31">
        <f>+SUM(M19:M20)</f>
        <v>382.0805742027344</v>
      </c>
    </row>
    <row r="22" spans="1:14" ht="15.75" thickBot="1" x14ac:dyDescent="0.3">
      <c r="A22" s="7" t="s">
        <v>1</v>
      </c>
      <c r="B22" s="57">
        <f>+B21*35.14%</f>
        <v>0</v>
      </c>
      <c r="C22" s="55">
        <f>+C21*35.14%</f>
        <v>0</v>
      </c>
      <c r="D22" s="55">
        <f>+D21*35.14%</f>
        <v>0</v>
      </c>
      <c r="E22" s="55">
        <f>+E21*35.14%</f>
        <v>0</v>
      </c>
      <c r="F22" s="55">
        <f>+F21*35.14%</f>
        <v>0</v>
      </c>
      <c r="G22" s="56">
        <f>+G21*35.14%</f>
        <v>110.48015999999998</v>
      </c>
      <c r="H22" s="55">
        <f>+H21*35.14%</f>
        <v>114.12547818</v>
      </c>
      <c r="I22" s="55">
        <f>+I21*35.14%</f>
        <v>117.89256515715</v>
      </c>
      <c r="J22" s="55">
        <f>+J21*35.14%</f>
        <v>121.78553934230513</v>
      </c>
      <c r="K22" s="55">
        <f>+K21*35.14%</f>
        <v>125.80866014915644</v>
      </c>
      <c r="L22" s="55">
        <f>+L21*35.14%</f>
        <v>129.96633287871012</v>
      </c>
      <c r="M22" s="54">
        <f>+M21*35.14%</f>
        <v>134.26311377484086</v>
      </c>
    </row>
    <row r="23" spans="1:14" ht="15.75" thickBot="1" x14ac:dyDescent="0.3">
      <c r="A23" s="4" t="s">
        <v>0</v>
      </c>
      <c r="B23" s="53">
        <f>+SUM(B21:B22)</f>
        <v>0</v>
      </c>
      <c r="C23" s="26">
        <f>+SUM(C21:C22)</f>
        <v>0</v>
      </c>
      <c r="D23" s="26">
        <f>+SUM(D21:D22)</f>
        <v>0</v>
      </c>
      <c r="E23" s="26">
        <f>+SUM(E21:E22)</f>
        <v>0</v>
      </c>
      <c r="F23" s="26">
        <f>+SUM(F21:F22)</f>
        <v>0</v>
      </c>
      <c r="G23" s="27">
        <f>+SUM(G21:G22)</f>
        <v>424.88015999999993</v>
      </c>
      <c r="H23" s="26">
        <f>+SUM(H21:H22)</f>
        <v>438.89917818000004</v>
      </c>
      <c r="I23" s="26">
        <f>+SUM(I21:I22)</f>
        <v>453.38648990715001</v>
      </c>
      <c r="J23" s="26">
        <f>+SUM(J21:J22)</f>
        <v>468.35793360043016</v>
      </c>
      <c r="K23" s="26">
        <f>+SUM(K21:K22)</f>
        <v>483.82988994186115</v>
      </c>
      <c r="L23" s="26">
        <f>+SUM(L21:L22)</f>
        <v>499.81930066103826</v>
      </c>
      <c r="M23" s="31">
        <f>+SUM(M21:M22)</f>
        <v>516.3436879775752</v>
      </c>
      <c r="N23" s="25" t="s">
        <v>15</v>
      </c>
    </row>
    <row r="24" spans="1:14" ht="15.75" thickBot="1" x14ac:dyDescent="0.3">
      <c r="A24" s="4" t="s">
        <v>35</v>
      </c>
      <c r="B24" s="26"/>
      <c r="C24" s="26"/>
      <c r="D24" s="26"/>
      <c r="E24" s="26"/>
      <c r="F24" s="26"/>
      <c r="G24" s="27">
        <f>2/0.75</f>
        <v>2.6666666666666665</v>
      </c>
      <c r="H24" s="26">
        <f>G24*(1+$B$1)</f>
        <v>2.7666666666666666</v>
      </c>
      <c r="I24" s="26">
        <f>H24*(1+$B$1)</f>
        <v>2.8704166666666668</v>
      </c>
      <c r="J24" s="26">
        <f>I24*(1+$B$1)</f>
        <v>2.978057291666667</v>
      </c>
      <c r="K24" s="26">
        <f>J24*(1+$B$1)</f>
        <v>3.0897344401041673</v>
      </c>
      <c r="L24" s="26">
        <f>K24*(1+$B$1)</f>
        <v>3.2055994816080737</v>
      </c>
      <c r="M24" s="26">
        <f>L24*(1+$B$1)</f>
        <v>3.3258094621683769</v>
      </c>
      <c r="N24" s="25"/>
    </row>
    <row r="25" spans="1:14" ht="15.75" thickBot="1" x14ac:dyDescent="0.3"/>
    <row r="26" spans="1:14" ht="16.5" thickBot="1" x14ac:dyDescent="0.3">
      <c r="A26" s="21" t="s">
        <v>13</v>
      </c>
      <c r="B26" s="24">
        <f>+((B23+B24)/$B$3)*100</f>
        <v>0</v>
      </c>
      <c r="C26" s="24">
        <f>+((C23+C24)/$B$3)*100</f>
        <v>0</v>
      </c>
      <c r="D26" s="24">
        <f>+((D23+D24)/$B$3)*100</f>
        <v>0</v>
      </c>
      <c r="E26" s="24">
        <f>+((E23+E24)/$B$3)*100</f>
        <v>0</v>
      </c>
      <c r="F26" s="24">
        <f>+((F23+F24)/$B$3)*100</f>
        <v>0</v>
      </c>
      <c r="G26" s="24">
        <f>+((G23+G24)/$B$3)*100</f>
        <v>341.43653303519136</v>
      </c>
      <c r="H26" s="24">
        <f>+((H23+H24)/$B$3)*100</f>
        <v>352.71190292817977</v>
      </c>
      <c r="I26" s="24">
        <f>+((I23+I24)/$B$3)*100</f>
        <v>364.36424418928016</v>
      </c>
      <c r="J26" s="24">
        <f>+((J23+J24)/$B$3)*100</f>
        <v>376.4063175947108</v>
      </c>
      <c r="K26" s="24">
        <f>+((K23+K24)/$B$3)*100</f>
        <v>388.85132118029497</v>
      </c>
      <c r="L26" s="24">
        <f>+((L23+L24)/$B$3)*100</f>
        <v>401.71290540061204</v>
      </c>
      <c r="M26" s="77">
        <f>+((M23+M24)/$B$3)*100</f>
        <v>415.00518881947261</v>
      </c>
      <c r="N26" s="22">
        <f>SUMPRODUCT(B26:M26,B27:M27)/SUM(B27:M27)</f>
        <v>377.21263044967736</v>
      </c>
    </row>
    <row r="27" spans="1:14" ht="15.75" thickBot="1" x14ac:dyDescent="0.3">
      <c r="A27" s="21" t="s">
        <v>12</v>
      </c>
      <c r="B27" s="20"/>
      <c r="C27" s="20"/>
      <c r="D27" s="20"/>
      <c r="E27" s="20"/>
      <c r="F27" s="20"/>
      <c r="G27" s="20">
        <v>60000</v>
      </c>
      <c r="H27" s="20">
        <v>60000</v>
      </c>
      <c r="I27" s="20">
        <v>60000</v>
      </c>
      <c r="J27" s="20">
        <v>60000</v>
      </c>
      <c r="K27" s="20">
        <v>60000</v>
      </c>
      <c r="L27" s="20">
        <v>60000</v>
      </c>
      <c r="M27" s="76">
        <v>60000</v>
      </c>
      <c r="N27" s="18">
        <f>SUM(B27:M27)</f>
        <v>420000</v>
      </c>
    </row>
    <row r="28" spans="1:14" ht="15.75" thickBot="1" x14ac:dyDescent="0.3"/>
    <row r="29" spans="1:14" x14ac:dyDescent="0.25">
      <c r="A29" s="47" t="s">
        <v>29</v>
      </c>
      <c r="B29" s="75">
        <v>44562</v>
      </c>
      <c r="C29" s="74">
        <v>44593</v>
      </c>
      <c r="D29" s="74">
        <v>44621</v>
      </c>
      <c r="E29" s="74">
        <v>44652</v>
      </c>
      <c r="F29" s="74">
        <v>44682</v>
      </c>
      <c r="G29" s="74">
        <v>44713</v>
      </c>
      <c r="H29" s="74">
        <v>44743</v>
      </c>
      <c r="I29" s="74">
        <v>44774</v>
      </c>
      <c r="J29" s="74">
        <v>44805</v>
      </c>
      <c r="K29" s="74">
        <v>44835</v>
      </c>
      <c r="L29" s="74">
        <v>44866</v>
      </c>
      <c r="M29" s="73">
        <v>44896</v>
      </c>
    </row>
    <row r="30" spans="1:14" ht="15.75" thickBot="1" x14ac:dyDescent="0.3">
      <c r="A30" s="14" t="s">
        <v>9</v>
      </c>
      <c r="B30" s="72" t="s">
        <v>8</v>
      </c>
      <c r="C30" s="71" t="str">
        <f>B30</f>
        <v>0,75 X 6</v>
      </c>
      <c r="D30" s="71" t="str">
        <f>C30</f>
        <v>0,75 X 6</v>
      </c>
      <c r="E30" s="71" t="str">
        <f>D30</f>
        <v>0,75 X 6</v>
      </c>
      <c r="F30" s="71" t="str">
        <f>E30</f>
        <v>0,75 X 6</v>
      </c>
      <c r="G30" s="71" t="str">
        <f>F30</f>
        <v>0,75 X 6</v>
      </c>
      <c r="H30" s="71" t="str">
        <f>G30</f>
        <v>0,75 X 6</v>
      </c>
      <c r="I30" s="71" t="str">
        <f>H30</f>
        <v>0,75 X 6</v>
      </c>
      <c r="J30" s="71" t="str">
        <f>I30</f>
        <v>0,75 X 6</v>
      </c>
      <c r="K30" s="71" t="str">
        <f>J30</f>
        <v>0,75 X 6</v>
      </c>
      <c r="L30" s="71" t="str">
        <f>K30</f>
        <v>0,75 X 6</v>
      </c>
      <c r="M30" s="70" t="str">
        <f>L30</f>
        <v>0,75 X 6</v>
      </c>
    </row>
    <row r="31" spans="1:14" x14ac:dyDescent="0.25">
      <c r="A31" s="69" t="s">
        <v>34</v>
      </c>
      <c r="B31" s="68"/>
      <c r="C31" s="37"/>
      <c r="D31" s="37"/>
      <c r="E31" s="37"/>
      <c r="F31" s="37"/>
      <c r="G31" s="67">
        <f>80.5934843714634/0.75</f>
        <v>107.4579791619512</v>
      </c>
      <c r="H31" s="37">
        <f>G31*(1+$B$1)</f>
        <v>111.48765338052438</v>
      </c>
      <c r="I31" s="37">
        <f>H31*(1+$B$1)</f>
        <v>115.66844038229405</v>
      </c>
      <c r="J31" s="37">
        <f>I31*(1+$B$1)</f>
        <v>120.00600689663008</v>
      </c>
      <c r="K31" s="37">
        <f>J31*(1+$B$1)</f>
        <v>124.50623215525373</v>
      </c>
      <c r="L31" s="37">
        <f>K31*(1+$B$1)</f>
        <v>129.17521586107574</v>
      </c>
      <c r="M31" s="36">
        <f>L31*(1+$B$1)</f>
        <v>134.01928645586608</v>
      </c>
    </row>
    <row r="32" spans="1:14" x14ac:dyDescent="0.25">
      <c r="A32" s="11" t="s">
        <v>33</v>
      </c>
      <c r="B32" s="66"/>
      <c r="C32" s="40"/>
      <c r="D32" s="40"/>
      <c r="E32" s="40"/>
      <c r="F32" s="40"/>
      <c r="G32" s="65">
        <f>79.1357592/0.75</f>
        <v>105.5143456</v>
      </c>
      <c r="H32" s="40">
        <f>G32*(1+$B$1)</f>
        <v>109.47113356000001</v>
      </c>
      <c r="I32" s="40">
        <f>H32*(1+$B$1)</f>
        <v>113.57630106850003</v>
      </c>
      <c r="J32" s="40">
        <f>I32*(1+$B$1)</f>
        <v>117.83541235856879</v>
      </c>
      <c r="K32" s="40">
        <f>J32*(1+$B$1)</f>
        <v>122.25424032201514</v>
      </c>
      <c r="L32" s="40">
        <f>K32*(1+$B$1)</f>
        <v>126.83877433409072</v>
      </c>
      <c r="M32" s="39">
        <f>L32*(1+$B$1)</f>
        <v>131.59522837161913</v>
      </c>
    </row>
    <row r="33" spans="1:17" x14ac:dyDescent="0.25">
      <c r="A33" s="11" t="s">
        <v>32</v>
      </c>
      <c r="B33" s="66"/>
      <c r="C33" s="40"/>
      <c r="D33" s="40"/>
      <c r="E33" s="40"/>
      <c r="F33" s="40"/>
      <c r="G33" s="65">
        <f>6/0.75</f>
        <v>8</v>
      </c>
      <c r="H33" s="40">
        <v>0</v>
      </c>
      <c r="I33" s="40">
        <f>H33*(1+$B$1)</f>
        <v>0</v>
      </c>
      <c r="J33" s="40">
        <v>0</v>
      </c>
      <c r="K33" s="40">
        <v>0</v>
      </c>
      <c r="L33" s="40">
        <v>0</v>
      </c>
      <c r="M33" s="39">
        <v>0</v>
      </c>
      <c r="O33" s="64">
        <f>34.77/0.75</f>
        <v>46.360000000000007</v>
      </c>
    </row>
    <row r="34" spans="1:17" ht="15.75" thickBot="1" x14ac:dyDescent="0.3">
      <c r="A34" s="11" t="s">
        <v>31</v>
      </c>
      <c r="B34" s="63"/>
      <c r="C34" s="61"/>
      <c r="D34" s="61"/>
      <c r="E34" s="61"/>
      <c r="F34" s="61"/>
      <c r="G34" s="62">
        <f>29.38/0.75</f>
        <v>39.173333333333332</v>
      </c>
      <c r="H34" s="61">
        <f>G34*(1+$B$1)</f>
        <v>40.642333333333333</v>
      </c>
      <c r="I34" s="61">
        <f>H34*(1+$B$1)</f>
        <v>42.166420833333333</v>
      </c>
      <c r="J34" s="61">
        <f>I34*(1+$B$1)</f>
        <v>43.747661614583336</v>
      </c>
      <c r="K34" s="61">
        <f>J34*(1+$B$1)</f>
        <v>45.388198925130212</v>
      </c>
      <c r="L34" s="61">
        <f>K34*(1+$B$1)</f>
        <v>47.090256384822595</v>
      </c>
      <c r="M34" s="60">
        <f>L34*(1+$B$1)</f>
        <v>48.856140999253448</v>
      </c>
    </row>
    <row r="35" spans="1:17" ht="15.75" thickBot="1" x14ac:dyDescent="0.3">
      <c r="A35" s="10" t="s">
        <v>4</v>
      </c>
      <c r="B35" s="53">
        <f>+SUM(B31:B34)</f>
        <v>0</v>
      </c>
      <c r="C35" s="26">
        <f>+SUM(C31:C34)</f>
        <v>0</v>
      </c>
      <c r="D35" s="26">
        <f>+SUM(D31:D34)</f>
        <v>0</v>
      </c>
      <c r="E35" s="26">
        <f>+SUM(E31:E34)</f>
        <v>0</v>
      </c>
      <c r="F35" s="26">
        <f>+SUM(F31:F34)</f>
        <v>0</v>
      </c>
      <c r="G35" s="27">
        <f>+SUM(G31:G34)</f>
        <v>260.14565809528455</v>
      </c>
      <c r="H35" s="26">
        <f>+SUM(H31:H34)</f>
        <v>261.6011202738577</v>
      </c>
      <c r="I35" s="26">
        <f>+SUM(I31:I34)</f>
        <v>271.41116228412744</v>
      </c>
      <c r="J35" s="26">
        <f>+SUM(J31:J34)</f>
        <v>281.58908086978221</v>
      </c>
      <c r="K35" s="26">
        <f>+SUM(K31:K34)</f>
        <v>292.14867140239909</v>
      </c>
      <c r="L35" s="26">
        <f>+SUM(L31:L34)</f>
        <v>303.10424657998908</v>
      </c>
      <c r="M35" s="31">
        <f>+SUM(M31:M34)</f>
        <v>314.47065582673866</v>
      </c>
    </row>
    <row r="36" spans="1:17" ht="15.75" thickBot="1" x14ac:dyDescent="0.3">
      <c r="A36" s="11" t="s">
        <v>3</v>
      </c>
      <c r="B36" s="57"/>
      <c r="C36" s="55"/>
      <c r="D36" s="55"/>
      <c r="E36" s="55"/>
      <c r="F36" s="55"/>
      <c r="G36" s="56">
        <f>50/0.75</f>
        <v>66.666666666666671</v>
      </c>
      <c r="H36" s="55">
        <f>+G36*1.03</f>
        <v>68.666666666666671</v>
      </c>
      <c r="I36" s="55">
        <f>+H36*1.03</f>
        <v>70.726666666666674</v>
      </c>
      <c r="J36" s="55">
        <f>+I36*1.03</f>
        <v>72.848466666666681</v>
      </c>
      <c r="K36" s="55">
        <f>+J36*1.03</f>
        <v>75.033920666666688</v>
      </c>
      <c r="L36" s="55">
        <f>+K36*1.03</f>
        <v>77.284938286666687</v>
      </c>
      <c r="M36" s="54">
        <f>+L36*1.03</f>
        <v>79.603486435266689</v>
      </c>
      <c r="P36" s="59">
        <f>450/1600</f>
        <v>0.28125</v>
      </c>
      <c r="Q36" s="1">
        <f>+P36*N42</f>
        <v>99.796547604957979</v>
      </c>
    </row>
    <row r="37" spans="1:17" ht="15.75" thickBot="1" x14ac:dyDescent="0.3">
      <c r="A37" s="10" t="s">
        <v>2</v>
      </c>
      <c r="B37" s="53">
        <f>+SUM(B35:B36)</f>
        <v>0</v>
      </c>
      <c r="C37" s="26">
        <f>+SUM(C35:C36)</f>
        <v>0</v>
      </c>
      <c r="D37" s="26">
        <f>+SUM(D35:D36)</f>
        <v>0</v>
      </c>
      <c r="E37" s="26">
        <f>+SUM(E35:E36)</f>
        <v>0</v>
      </c>
      <c r="F37" s="26">
        <f>+SUM(F35:F36)</f>
        <v>0</v>
      </c>
      <c r="G37" s="27">
        <f>+SUM(G35:G36)</f>
        <v>326.81232476195123</v>
      </c>
      <c r="H37" s="26">
        <f>+SUM(H35:H36)</f>
        <v>330.26778694052439</v>
      </c>
      <c r="I37" s="26">
        <f>+SUM(I35:I36)</f>
        <v>342.13782895079413</v>
      </c>
      <c r="J37" s="26">
        <f>+SUM(J35:J36)</f>
        <v>354.4375475364489</v>
      </c>
      <c r="K37" s="26">
        <f>+SUM(K35:K36)</f>
        <v>367.18259206906578</v>
      </c>
      <c r="L37" s="26">
        <f>+SUM(L35:L36)</f>
        <v>380.3891848666558</v>
      </c>
      <c r="M37" s="31">
        <f>+SUM(M35:M36)</f>
        <v>394.07414226200535</v>
      </c>
      <c r="P37" s="58">
        <f>100%-P36</f>
        <v>0.71875</v>
      </c>
      <c r="Q37" s="1">
        <f>+P37*N26</f>
        <v>271.12157813570559</v>
      </c>
    </row>
    <row r="38" spans="1:17" ht="15.75" thickBot="1" x14ac:dyDescent="0.3">
      <c r="A38" s="7" t="s">
        <v>1</v>
      </c>
      <c r="B38" s="57">
        <f>+B37*35.14%</f>
        <v>0</v>
      </c>
      <c r="C38" s="55">
        <f>+C37*35.14%</f>
        <v>0</v>
      </c>
      <c r="D38" s="55">
        <f>+D37*35.14%</f>
        <v>0</v>
      </c>
      <c r="E38" s="55">
        <f>+E37*35.14%</f>
        <v>0</v>
      </c>
      <c r="F38" s="55">
        <f>+F37*35.14%</f>
        <v>0</v>
      </c>
      <c r="G38" s="56">
        <f>+G37*35.14%</f>
        <v>114.84185092134966</v>
      </c>
      <c r="H38" s="55">
        <f>+H37*35.14%</f>
        <v>116.05610033090026</v>
      </c>
      <c r="I38" s="55">
        <f>+I37*35.14%</f>
        <v>120.22723309330905</v>
      </c>
      <c r="J38" s="55">
        <f>+J37*35.14%</f>
        <v>124.54935420430814</v>
      </c>
      <c r="K38" s="55">
        <f>+K37*35.14%</f>
        <v>129.02796285306971</v>
      </c>
      <c r="L38" s="55">
        <f>+L37*35.14%</f>
        <v>133.66875956214284</v>
      </c>
      <c r="M38" s="54">
        <f>+M37*35.14%</f>
        <v>138.47765359086867</v>
      </c>
      <c r="P38" s="1" t="s">
        <v>30</v>
      </c>
      <c r="Q38" s="1">
        <f>+Q37+Q36</f>
        <v>370.91812574066358</v>
      </c>
    </row>
    <row r="39" spans="1:17" ht="15.75" thickBot="1" x14ac:dyDescent="0.3">
      <c r="A39" s="4" t="s">
        <v>0</v>
      </c>
      <c r="B39" s="53">
        <f>+SUM(B37:B38)</f>
        <v>0</v>
      </c>
      <c r="C39" s="26">
        <f>+SUM(C37:C38)</f>
        <v>0</v>
      </c>
      <c r="D39" s="26">
        <f>+SUM(D37:D38)</f>
        <v>0</v>
      </c>
      <c r="E39" s="26">
        <f>+SUM(E37:E38)</f>
        <v>0</v>
      </c>
      <c r="F39" s="26">
        <f>+SUM(F37:F38)</f>
        <v>0</v>
      </c>
      <c r="G39" s="27">
        <f>+SUM(G37:G38)</f>
        <v>441.65417568330088</v>
      </c>
      <c r="H39" s="26">
        <f>+SUM(H37:H38)</f>
        <v>446.32388727142467</v>
      </c>
      <c r="I39" s="26">
        <f>+SUM(I37:I38)</f>
        <v>462.36506204410318</v>
      </c>
      <c r="J39" s="26">
        <f>+SUM(J37:J38)</f>
        <v>478.98690174075705</v>
      </c>
      <c r="K39" s="26">
        <f>+SUM(K37:K38)</f>
        <v>496.21055492213549</v>
      </c>
      <c r="L39" s="26">
        <f>+SUM(L37:L38)</f>
        <v>514.05794442879869</v>
      </c>
      <c r="M39" s="31">
        <f>+SUM(M37:M38)</f>
        <v>532.55179585287397</v>
      </c>
      <c r="N39" s="25" t="s">
        <v>15</v>
      </c>
    </row>
    <row r="40" spans="1:17" ht="15.75" thickBot="1" x14ac:dyDescent="0.3">
      <c r="A40" s="4" t="s">
        <v>14</v>
      </c>
      <c r="B40" s="52"/>
      <c r="C40" s="51"/>
      <c r="D40" s="51"/>
      <c r="E40" s="51"/>
      <c r="F40" s="51"/>
      <c r="G40" s="27">
        <f>2/0.75</f>
        <v>2.6666666666666665</v>
      </c>
      <c r="H40" s="26">
        <f>G40*(1+$B$1)</f>
        <v>2.7666666666666666</v>
      </c>
      <c r="I40" s="26">
        <f>H40*(1+$B$1)</f>
        <v>2.8704166666666668</v>
      </c>
      <c r="J40" s="26">
        <f>I40*(1+$B$1)</f>
        <v>2.978057291666667</v>
      </c>
      <c r="K40" s="26">
        <f>J40*(1+$B$1)</f>
        <v>3.0897344401041673</v>
      </c>
      <c r="L40" s="26">
        <f>K40*(1+$B$1)</f>
        <v>3.2055994816080737</v>
      </c>
      <c r="M40" s="31">
        <f>L40*(1+$B$1)</f>
        <v>3.3258094621683769</v>
      </c>
      <c r="N40" s="25"/>
    </row>
    <row r="41" spans="1:17" ht="15.75" thickBot="1" x14ac:dyDescent="0.3"/>
    <row r="42" spans="1:17" ht="16.5" thickBot="1" x14ac:dyDescent="0.3">
      <c r="A42" s="21" t="s">
        <v>13</v>
      </c>
      <c r="B42" s="23">
        <f>+((B39+B40)/$B$3)*100</f>
        <v>0</v>
      </c>
      <c r="C42" s="23">
        <f>+((C39+C40)/$B$3)*100</f>
        <v>0</v>
      </c>
      <c r="D42" s="23">
        <f>+((D39+D40)/$B$3)*100</f>
        <v>0</v>
      </c>
      <c r="E42" s="23">
        <f>+((E39+E40)/$B$3)*100</f>
        <v>0</v>
      </c>
      <c r="F42" s="23">
        <f>+((F39+F40)/$B$3)*100</f>
        <v>0</v>
      </c>
      <c r="G42" s="24">
        <f>+((G39+G40)/$B$3)*100</f>
        <v>354.8321692620728</v>
      </c>
      <c r="H42" s="23">
        <f>+((H39+H40)/$B$3)*100</f>
        <v>358.6412345776165</v>
      </c>
      <c r="I42" s="23">
        <f>+((I39+I40)/$B$3)*100</f>
        <v>371.5344822798034</v>
      </c>
      <c r="J42" s="23">
        <f>+((J39+J40)/$B$3)*100</f>
        <v>384.89455281298814</v>
      </c>
      <c r="K42" s="23">
        <f>+((K39+K40)/$B$3)*100</f>
        <v>398.73845181459802</v>
      </c>
      <c r="L42" s="23">
        <f>+((L39+L40)/$B$3)*100</f>
        <v>413.083807626902</v>
      </c>
      <c r="M42" s="50">
        <f>+((M39+M40)/$B$3)*100</f>
        <v>427.948894198245</v>
      </c>
      <c r="N42" s="22">
        <f>+G42</f>
        <v>354.8321692620728</v>
      </c>
      <c r="O42" s="49">
        <f>E39*0.75</f>
        <v>0</v>
      </c>
    </row>
    <row r="43" spans="1:17" ht="15.75" thickBot="1" x14ac:dyDescent="0.3">
      <c r="A43" s="21" t="s">
        <v>12</v>
      </c>
      <c r="B43" s="19"/>
      <c r="C43" s="19"/>
      <c r="D43" s="19"/>
      <c r="E43" s="19"/>
      <c r="F43" s="19"/>
      <c r="G43" s="20">
        <v>60000</v>
      </c>
      <c r="H43" s="19"/>
      <c r="I43" s="19"/>
      <c r="J43" s="19"/>
      <c r="K43" s="19"/>
      <c r="L43" s="19"/>
      <c r="M43" s="48"/>
      <c r="N43" s="18">
        <f>SUM(B43:M43)</f>
        <v>60000</v>
      </c>
    </row>
    <row r="44" spans="1:17" ht="15.75" thickBot="1" x14ac:dyDescent="0.3"/>
    <row r="45" spans="1:17" ht="15.75" thickBot="1" x14ac:dyDescent="0.3">
      <c r="A45" s="47" t="s">
        <v>29</v>
      </c>
      <c r="B45" s="46">
        <v>44562</v>
      </c>
      <c r="C45" s="46">
        <v>44593</v>
      </c>
      <c r="D45" s="46">
        <v>44621</v>
      </c>
      <c r="E45" s="46">
        <v>44652</v>
      </c>
      <c r="F45" s="46">
        <v>44682</v>
      </c>
      <c r="G45" s="46">
        <v>44713</v>
      </c>
      <c r="H45" s="46">
        <v>44743</v>
      </c>
      <c r="I45" s="46">
        <v>44774</v>
      </c>
      <c r="J45" s="46">
        <v>44805</v>
      </c>
      <c r="K45" s="46">
        <v>44835</v>
      </c>
      <c r="L45" s="46">
        <v>44866</v>
      </c>
      <c r="M45" s="45">
        <v>44896</v>
      </c>
    </row>
    <row r="46" spans="1:17" ht="15.75" thickBot="1" x14ac:dyDescent="0.3">
      <c r="A46" s="14" t="s">
        <v>9</v>
      </c>
      <c r="B46" s="44" t="s">
        <v>25</v>
      </c>
      <c r="C46" s="43" t="str">
        <f>B46</f>
        <v>BIB</v>
      </c>
      <c r="D46" s="43" t="str">
        <f>C46</f>
        <v>BIB</v>
      </c>
      <c r="E46" s="43" t="str">
        <f>D46</f>
        <v>BIB</v>
      </c>
      <c r="F46" s="43" t="str">
        <f>E46</f>
        <v>BIB</v>
      </c>
      <c r="G46" s="43" t="str">
        <f>F46</f>
        <v>BIB</v>
      </c>
      <c r="H46" s="43" t="str">
        <f>G46</f>
        <v>BIB</v>
      </c>
      <c r="I46" s="43" t="str">
        <f>H46</f>
        <v>BIB</v>
      </c>
      <c r="J46" s="43" t="str">
        <f>I46</f>
        <v>BIB</v>
      </c>
      <c r="K46" s="43" t="str">
        <f>J46</f>
        <v>BIB</v>
      </c>
      <c r="L46" s="43" t="str">
        <f>K46</f>
        <v>BIB</v>
      </c>
      <c r="M46" s="42" t="str">
        <f>L46</f>
        <v>BIB</v>
      </c>
      <c r="O46" s="1">
        <f>N27*0.7/100</f>
        <v>2940</v>
      </c>
    </row>
    <row r="47" spans="1:17" x14ac:dyDescent="0.25">
      <c r="A47" s="11" t="s">
        <v>28</v>
      </c>
      <c r="B47" s="38">
        <v>0.38</v>
      </c>
      <c r="C47" s="37">
        <f>B47*(1+$B$1)</f>
        <v>0.39425000000000004</v>
      </c>
      <c r="D47" s="37">
        <f>C47*(1+$B$1)</f>
        <v>0.40903437500000006</v>
      </c>
      <c r="E47" s="37">
        <f>D47*(1+$B$1)</f>
        <v>0.42437316406250009</v>
      </c>
      <c r="F47" s="37">
        <f>E47*(1+$B$1)</f>
        <v>0.44028715771484389</v>
      </c>
      <c r="G47" s="37">
        <f>F47*(1+$B$1)</f>
        <v>0.4567979261291506</v>
      </c>
      <c r="H47" s="37">
        <f>G47*(1+$B$1)</f>
        <v>0.47392784835899376</v>
      </c>
      <c r="I47" s="37">
        <f>H47*(1+$B$1)</f>
        <v>0.4917001426724561</v>
      </c>
      <c r="J47" s="37">
        <f>I47*(1+$B$1)</f>
        <v>0.5101388980226732</v>
      </c>
      <c r="K47" s="37">
        <f>J47*(1+$B$1)</f>
        <v>0.52926910669852345</v>
      </c>
      <c r="L47" s="37">
        <f>K47*(1+$B$1)</f>
        <v>0.54911669819971809</v>
      </c>
      <c r="M47" s="36">
        <f>L47*(1+$B$1)</f>
        <v>0.56970857438220757</v>
      </c>
    </row>
    <row r="48" spans="1:17" x14ac:dyDescent="0.25">
      <c r="A48" s="11" t="s">
        <v>27</v>
      </c>
      <c r="B48" s="41">
        <v>0.17</v>
      </c>
      <c r="C48" s="40">
        <f>B48*(1+$B$1)</f>
        <v>0.17637500000000003</v>
      </c>
      <c r="D48" s="40">
        <f>C48*(1+$B$1)</f>
        <v>0.18298906250000005</v>
      </c>
      <c r="E48" s="40">
        <f>D48*(1+$B$1)</f>
        <v>0.18985115234375008</v>
      </c>
      <c r="F48" s="40">
        <f>E48*(1+$B$1)</f>
        <v>0.19697057055664072</v>
      </c>
      <c r="G48" s="40">
        <f>F48*(1+$B$1)</f>
        <v>0.20435696695251476</v>
      </c>
      <c r="H48" s="40">
        <f>G48*(1+$B$1)</f>
        <v>0.21202035321323409</v>
      </c>
      <c r="I48" s="40">
        <f>H48*(1+$B$1)</f>
        <v>0.21997111645873038</v>
      </c>
      <c r="J48" s="40">
        <f>I48*(1+$B$1)</f>
        <v>0.2282200333259328</v>
      </c>
      <c r="K48" s="40">
        <f>J48*(1+$B$1)</f>
        <v>0.23677828457565531</v>
      </c>
      <c r="L48" s="40">
        <f>K48*(1+$B$1)</f>
        <v>0.24565747024724241</v>
      </c>
      <c r="M48" s="39">
        <f>L48*(1+$B$1)</f>
        <v>0.25486962538151403</v>
      </c>
    </row>
    <row r="49" spans="1:14" x14ac:dyDescent="0.25">
      <c r="A49" s="11" t="s">
        <v>26</v>
      </c>
      <c r="B49" s="41">
        <v>47.35</v>
      </c>
      <c r="C49" s="40">
        <f>B49*(1+$B$1)</f>
        <v>49.125625000000007</v>
      </c>
      <c r="D49" s="40">
        <f>C49*(1+$B$1)</f>
        <v>50.967835937500013</v>
      </c>
      <c r="E49" s="40">
        <f>D49*(1+$B$1)</f>
        <v>52.879129785156266</v>
      </c>
      <c r="F49" s="40">
        <f>E49*(1+$B$1)</f>
        <v>54.862097152099629</v>
      </c>
      <c r="G49" s="40">
        <f>F49*(1+$B$1)</f>
        <v>56.919425795303368</v>
      </c>
      <c r="H49" s="40">
        <f>G49*(1+$B$1)</f>
        <v>59.053904262627249</v>
      </c>
      <c r="I49" s="40">
        <f>H49*(1+$B$1)</f>
        <v>61.268425672475779</v>
      </c>
      <c r="J49" s="40">
        <f>I49*(1+$B$1)</f>
        <v>63.565991635193626</v>
      </c>
      <c r="K49" s="40">
        <f>J49*(1+$B$1)</f>
        <v>65.949716321513392</v>
      </c>
      <c r="L49" s="40">
        <f>K49*(1+$B$1)</f>
        <v>68.422830683570155</v>
      </c>
      <c r="M49" s="39">
        <f>L49*(1+$B$1)</f>
        <v>70.988686834204046</v>
      </c>
    </row>
    <row r="50" spans="1:14" x14ac:dyDescent="0.25">
      <c r="A50" s="11" t="s">
        <v>25</v>
      </c>
      <c r="B50" s="41">
        <v>10</v>
      </c>
      <c r="C50" s="40">
        <f>B50*(1+$B$1)</f>
        <v>10.375</v>
      </c>
      <c r="D50" s="40">
        <f>C50*(1+$B$1)</f>
        <v>10.764062500000001</v>
      </c>
      <c r="E50" s="40">
        <f>D50*(1+$B$1)</f>
        <v>11.167714843750002</v>
      </c>
      <c r="F50" s="40">
        <f>E50*(1+$B$1)</f>
        <v>11.586504150390628</v>
      </c>
      <c r="G50" s="40">
        <f>F50*(1+$B$1)</f>
        <v>12.020998056030278</v>
      </c>
      <c r="H50" s="40">
        <f>G50*(1+$B$1)</f>
        <v>12.471785483131415</v>
      </c>
      <c r="I50" s="40">
        <f>H50*(1+$B$1)</f>
        <v>12.939477438748844</v>
      </c>
      <c r="J50" s="40">
        <f>I50*(1+$B$1)</f>
        <v>13.424707842701926</v>
      </c>
      <c r="K50" s="40">
        <f>J50*(1+$B$1)</f>
        <v>13.928134386803249</v>
      </c>
      <c r="L50" s="40">
        <f>K50*(1+$B$1)</f>
        <v>14.450439426308373</v>
      </c>
      <c r="M50" s="39">
        <f>L50*(1+$B$1)</f>
        <v>14.992330904794938</v>
      </c>
    </row>
    <row r="51" spans="1:14" x14ac:dyDescent="0.25">
      <c r="A51" s="11" t="s">
        <v>24</v>
      </c>
      <c r="B51" s="41">
        <v>25</v>
      </c>
      <c r="C51" s="40">
        <f>B51*(1+$B$1)</f>
        <v>25.937500000000004</v>
      </c>
      <c r="D51" s="40">
        <f>C51*(1+$B$1)</f>
        <v>26.910156250000007</v>
      </c>
      <c r="E51" s="40">
        <f>D51*(1+$B$1)</f>
        <v>27.919287109375009</v>
      </c>
      <c r="F51" s="40">
        <f>E51*(1+$B$1)</f>
        <v>28.966260375976574</v>
      </c>
      <c r="G51" s="40">
        <f>F51*(1+$B$1)</f>
        <v>30.052495140075699</v>
      </c>
      <c r="H51" s="40">
        <f>G51*(1+$B$1)</f>
        <v>31.179463707828539</v>
      </c>
      <c r="I51" s="40">
        <f>H51*(1+$B$1)</f>
        <v>32.34869359687211</v>
      </c>
      <c r="J51" s="40">
        <f>I51*(1+$B$1)</f>
        <v>33.561769606754815</v>
      </c>
      <c r="K51" s="40">
        <f>J51*(1+$B$1)</f>
        <v>34.820335967008127</v>
      </c>
      <c r="L51" s="40">
        <f>K51*(1+$B$1)</f>
        <v>36.126098565770931</v>
      </c>
      <c r="M51" s="39">
        <f>L51*(1+$B$1)</f>
        <v>37.480827261987343</v>
      </c>
    </row>
    <row r="52" spans="1:14" x14ac:dyDescent="0.25">
      <c r="A52" s="11" t="s">
        <v>23</v>
      </c>
      <c r="B52" s="41">
        <v>0.26</v>
      </c>
      <c r="C52" s="40">
        <f>B52*(1+$B$1)</f>
        <v>0.26975000000000005</v>
      </c>
      <c r="D52" s="40">
        <f>C52*(1+$B$1)</f>
        <v>0.27986562500000006</v>
      </c>
      <c r="E52" s="40">
        <f>D52*(1+$B$1)</f>
        <v>0.29036058593750008</v>
      </c>
      <c r="F52" s="40">
        <f>E52*(1+$B$1)</f>
        <v>0.30124910791015636</v>
      </c>
      <c r="G52" s="40">
        <f>F52*(1+$B$1)</f>
        <v>0.31254594945678726</v>
      </c>
      <c r="H52" s="40">
        <f>G52*(1+$B$1)</f>
        <v>0.3242664225614168</v>
      </c>
      <c r="I52" s="40">
        <f>H52*(1+$B$1)</f>
        <v>0.33642641340746998</v>
      </c>
      <c r="J52" s="40">
        <f>I52*(1+$B$1)</f>
        <v>0.34904240391025015</v>
      </c>
      <c r="K52" s="40">
        <f>J52*(1+$B$1)</f>
        <v>0.36213149405688455</v>
      </c>
      <c r="L52" s="40">
        <f>K52*(1+$B$1)</f>
        <v>0.37571142508401778</v>
      </c>
      <c r="M52" s="39">
        <f>L52*(1+$B$1)</f>
        <v>0.3898006035246685</v>
      </c>
    </row>
    <row r="53" spans="1:14" x14ac:dyDescent="0.25">
      <c r="A53" s="11" t="s">
        <v>22</v>
      </c>
      <c r="B53" s="41">
        <v>1.29</v>
      </c>
      <c r="C53" s="40">
        <f>B53*(1+$B$1)</f>
        <v>1.3383750000000001</v>
      </c>
      <c r="D53" s="40">
        <f>C53*(1+$B$1)</f>
        <v>1.3885640625000002</v>
      </c>
      <c r="E53" s="40">
        <f>D53*(1+$B$1)</f>
        <v>1.4406352148437502</v>
      </c>
      <c r="F53" s="40">
        <f>E53*(1+$B$1)</f>
        <v>1.494659035400391</v>
      </c>
      <c r="G53" s="40">
        <f>F53*(1+$B$1)</f>
        <v>1.5507087492279059</v>
      </c>
      <c r="H53" s="40">
        <f>G53*(1+$B$1)</f>
        <v>1.6088603273239526</v>
      </c>
      <c r="I53" s="40">
        <f>H53*(1+$B$1)</f>
        <v>1.6691925895986008</v>
      </c>
      <c r="J53" s="40">
        <f>I53*(1+$B$1)</f>
        <v>1.7317873117085485</v>
      </c>
      <c r="K53" s="40">
        <f>J53*(1+$B$1)</f>
        <v>1.7967293358976193</v>
      </c>
      <c r="L53" s="40">
        <f>K53*(1+$B$1)</f>
        <v>1.8641066859937803</v>
      </c>
      <c r="M53" s="39">
        <f>L53*(1+$B$1)</f>
        <v>1.9340106867185471</v>
      </c>
    </row>
    <row r="54" spans="1:14" x14ac:dyDescent="0.25">
      <c r="A54" s="11" t="s">
        <v>21</v>
      </c>
      <c r="B54" s="41">
        <v>24.37</v>
      </c>
      <c r="C54" s="40">
        <f>B54*(1+$E$3)</f>
        <v>24.817733430799223</v>
      </c>
      <c r="D54" s="40">
        <f>C54*(1+$E$3)</f>
        <v>25.273692763324139</v>
      </c>
      <c r="E54" s="40">
        <f>D54*(1+$E$3)</f>
        <v>25.73802912647098</v>
      </c>
      <c r="F54" s="40">
        <f>E54*(1+$E$3)</f>
        <v>26.210896425724371</v>
      </c>
      <c r="G54" s="40">
        <f>F54*(1+$E$3)</f>
        <v>26.692451394169698</v>
      </c>
      <c r="H54" s="40">
        <f>G54*(1+$E$3)</f>
        <v>27.182853644442698</v>
      </c>
      <c r="I54" s="40">
        <f>H54*(1+$E$3)</f>
        <v>27.682265721633481</v>
      </c>
      <c r="J54" s="40">
        <f>I54*(1+$E$3)</f>
        <v>28.190853157162518</v>
      </c>
      <c r="K54" s="40">
        <f>J54*(1+$E$3)</f>
        <v>28.70878452364645</v>
      </c>
      <c r="L54" s="40">
        <f>K54*(1+$E$3)</f>
        <v>29.236231490771925</v>
      </c>
      <c r="M54" s="39">
        <f>L54*(1+$E$3)</f>
        <v>29.77336888219595</v>
      </c>
    </row>
    <row r="55" spans="1:14" x14ac:dyDescent="0.25">
      <c r="A55" s="11" t="s">
        <v>20</v>
      </c>
      <c r="B55" s="41">
        <v>5</v>
      </c>
      <c r="C55" s="40">
        <f>B55*(1+$B$1)</f>
        <v>5.1875</v>
      </c>
      <c r="D55" s="40">
        <f>C55*(1+$B$1)</f>
        <v>5.3820312500000007</v>
      </c>
      <c r="E55" s="40">
        <f>D55*(1+$B$1)</f>
        <v>5.5838574218750008</v>
      </c>
      <c r="F55" s="40">
        <f>E55*(1+$B$1)</f>
        <v>5.7932520751953138</v>
      </c>
      <c r="G55" s="40">
        <f>F55*(1+$B$1)</f>
        <v>6.0104990280151389</v>
      </c>
      <c r="H55" s="40">
        <f>G55*(1+$B$1)</f>
        <v>6.2358927415657073</v>
      </c>
      <c r="I55" s="40">
        <f>H55*(1+$B$1)</f>
        <v>6.4697387193744218</v>
      </c>
      <c r="J55" s="40">
        <f>I55*(1+$B$1)</f>
        <v>6.7123539213509629</v>
      </c>
      <c r="K55" s="40">
        <f>J55*(1+$B$1)</f>
        <v>6.9640671934016245</v>
      </c>
      <c r="L55" s="40">
        <f>K55*(1+$B$1)</f>
        <v>7.2252197131541864</v>
      </c>
      <c r="M55" s="39">
        <f>L55*(1+$B$1)</f>
        <v>7.4961654523974692</v>
      </c>
    </row>
    <row r="56" spans="1:14" x14ac:dyDescent="0.25">
      <c r="A56" s="11" t="s">
        <v>19</v>
      </c>
      <c r="B56" s="41">
        <v>2.2599999999999998</v>
      </c>
      <c r="C56" s="40">
        <f>B56*(1+$B$1)</f>
        <v>2.3447499999999999</v>
      </c>
      <c r="D56" s="40">
        <f>C56*(1+$B$1)</f>
        <v>2.4326781250000002</v>
      </c>
      <c r="E56" s="40">
        <f>D56*(1+$B$1)</f>
        <v>2.5239035546875006</v>
      </c>
      <c r="F56" s="40">
        <f>E56*(1+$B$1)</f>
        <v>2.618549937988282</v>
      </c>
      <c r="G56" s="40">
        <f>F56*(1+$B$1)</f>
        <v>2.7167455606628428</v>
      </c>
      <c r="H56" s="40">
        <f>G56*(1+$B$1)</f>
        <v>2.8186235191876996</v>
      </c>
      <c r="I56" s="40">
        <f>H56*(1+$B$1)</f>
        <v>2.9243219011572386</v>
      </c>
      <c r="J56" s="40">
        <f>I56*(1+$B$1)</f>
        <v>3.0339839724506352</v>
      </c>
      <c r="K56" s="40">
        <f>J56*(1+$B$1)</f>
        <v>3.1477583714175341</v>
      </c>
      <c r="L56" s="40">
        <f>K56*(1+$B$1)</f>
        <v>3.2657993103456917</v>
      </c>
      <c r="M56" s="39">
        <f>L56*(1+$B$1)</f>
        <v>3.3882667844836556</v>
      </c>
    </row>
    <row r="57" spans="1:14" ht="15.75" thickBot="1" x14ac:dyDescent="0.3">
      <c r="A57" s="11" t="s">
        <v>18</v>
      </c>
      <c r="B57" s="35">
        <v>5.8915999999999995</v>
      </c>
      <c r="C57" s="34">
        <f>B57*(1+$B$1)</f>
        <v>6.1125350000000003</v>
      </c>
      <c r="D57" s="34">
        <f>C57*(1+$B$1)</f>
        <v>6.3417550625000008</v>
      </c>
      <c r="E57" s="34">
        <f>D57*(1+$B$1)</f>
        <v>6.5795708773437518</v>
      </c>
      <c r="F57" s="34">
        <f>E57*(1+$B$1)</f>
        <v>6.826304785244143</v>
      </c>
      <c r="G57" s="34">
        <f>F57*(1+$B$1)</f>
        <v>7.082291214690799</v>
      </c>
      <c r="H57" s="34">
        <f>G57*(1+$B$1)</f>
        <v>7.3478771352417045</v>
      </c>
      <c r="I57" s="34">
        <f>H57*(1+$B$1)</f>
        <v>7.6234225278132692</v>
      </c>
      <c r="J57" s="34">
        <f>I57*(1+$B$1)</f>
        <v>7.9093008726062672</v>
      </c>
      <c r="K57" s="34">
        <f>J57*(1+$B$1)</f>
        <v>8.2058996553290022</v>
      </c>
      <c r="L57" s="34">
        <f>K57*(1+$B$1)</f>
        <v>8.513620892403841</v>
      </c>
      <c r="M57" s="33">
        <f>L57*(1+$B$1)</f>
        <v>8.8328816758689861</v>
      </c>
    </row>
    <row r="58" spans="1:14" ht="15.75" thickBot="1" x14ac:dyDescent="0.3">
      <c r="A58" s="10" t="s">
        <v>4</v>
      </c>
      <c r="B58" s="32">
        <f>+SUM(B47:B57)</f>
        <v>121.97160000000002</v>
      </c>
      <c r="C58" s="26">
        <f>+SUM(C47:C57)</f>
        <v>126.07939343079923</v>
      </c>
      <c r="D58" s="26">
        <f>+SUM(D47:D57)</f>
        <v>130.33266501332415</v>
      </c>
      <c r="E58" s="26">
        <f>+SUM(E47:E57)</f>
        <v>134.73671283584599</v>
      </c>
      <c r="F58" s="26">
        <f>+SUM(F47:F57)</f>
        <v>139.29703077420098</v>
      </c>
      <c r="G58" s="26">
        <f>+SUM(G47:G57)</f>
        <v>144.01931578071418</v>
      </c>
      <c r="H58" s="26">
        <f>+SUM(H47:H57)</f>
        <v>148.90947544548263</v>
      </c>
      <c r="I58" s="26">
        <f>+SUM(I47:I57)</f>
        <v>153.97363584021238</v>
      </c>
      <c r="J58" s="26">
        <f>+SUM(J47:J57)</f>
        <v>159.21814965518814</v>
      </c>
      <c r="K58" s="26">
        <f>+SUM(K47:K57)</f>
        <v>164.64960464034806</v>
      </c>
      <c r="L58" s="26">
        <f>+SUM(L47:L57)</f>
        <v>170.27483236184989</v>
      </c>
      <c r="M58" s="31">
        <f>+SUM(M47:M57)</f>
        <v>176.10091728593929</v>
      </c>
    </row>
    <row r="59" spans="1:14" x14ac:dyDescent="0.25">
      <c r="A59" s="11" t="s">
        <v>17</v>
      </c>
      <c r="B59" s="38">
        <v>30</v>
      </c>
      <c r="C59" s="37">
        <f>+B59*1.03</f>
        <v>30.900000000000002</v>
      </c>
      <c r="D59" s="37">
        <f>+C59*1.03</f>
        <v>31.827000000000002</v>
      </c>
      <c r="E59" s="37">
        <f>+D59*1.03</f>
        <v>32.78181</v>
      </c>
      <c r="F59" s="37">
        <f>+E59*1.03</f>
        <v>33.765264299999998</v>
      </c>
      <c r="G59" s="37">
        <f>+F59*1.03</f>
        <v>34.778222229000001</v>
      </c>
      <c r="H59" s="37">
        <f>+G59*1.03</f>
        <v>35.821568895870001</v>
      </c>
      <c r="I59" s="37">
        <f>+H59*1.03</f>
        <v>36.896215962746105</v>
      </c>
      <c r="J59" s="37">
        <f>+I59*1.03</f>
        <v>38.003102441628492</v>
      </c>
      <c r="K59" s="37">
        <f>+J59*1.03</f>
        <v>39.143195514877348</v>
      </c>
      <c r="L59" s="37">
        <f>+K59*1.03</f>
        <v>40.317491380323666</v>
      </c>
      <c r="M59" s="36">
        <f>+L59*1.03</f>
        <v>41.527016121733375</v>
      </c>
    </row>
    <row r="60" spans="1:14" ht="15.75" thickBot="1" x14ac:dyDescent="0.3">
      <c r="A60" s="11" t="s">
        <v>16</v>
      </c>
      <c r="B60" s="35">
        <v>50</v>
      </c>
      <c r="C60" s="34">
        <f>+B60*1.03</f>
        <v>51.5</v>
      </c>
      <c r="D60" s="34">
        <f>+C60*1.03</f>
        <v>53.045000000000002</v>
      </c>
      <c r="E60" s="34">
        <f>+D60*1.03</f>
        <v>54.63635</v>
      </c>
      <c r="F60" s="34">
        <f>+E60*1.03</f>
        <v>56.275440500000002</v>
      </c>
      <c r="G60" s="34">
        <f>+F60*1.03</f>
        <v>57.963703715000001</v>
      </c>
      <c r="H60" s="34">
        <f>+G60*1.03</f>
        <v>59.702614826450002</v>
      </c>
      <c r="I60" s="34">
        <f>+H60*1.03</f>
        <v>61.493693271243501</v>
      </c>
      <c r="J60" s="34">
        <f>+I60*1.03</f>
        <v>63.338504069380811</v>
      </c>
      <c r="K60" s="34">
        <f>+J60*1.03</f>
        <v>65.238659191462233</v>
      </c>
      <c r="L60" s="34">
        <f>+K60*1.03</f>
        <v>67.195818967206108</v>
      </c>
      <c r="M60" s="33">
        <f>+L60*1.03</f>
        <v>69.211693536222299</v>
      </c>
    </row>
    <row r="61" spans="1:14" ht="15.75" thickBot="1" x14ac:dyDescent="0.3">
      <c r="A61" s="10" t="s">
        <v>2</v>
      </c>
      <c r="B61" s="32">
        <f>+SUM(B58:B60)</f>
        <v>201.97160000000002</v>
      </c>
      <c r="C61" s="26">
        <f>+SUM(C58:C60)</f>
        <v>208.47939343079923</v>
      </c>
      <c r="D61" s="26">
        <f>+SUM(D58:D60)</f>
        <v>215.20466501332413</v>
      </c>
      <c r="E61" s="26">
        <f>+SUM(E58:E60)</f>
        <v>222.15487283584599</v>
      </c>
      <c r="F61" s="26">
        <f>+SUM(F58:F60)</f>
        <v>229.33773557420096</v>
      </c>
      <c r="G61" s="26">
        <f>+SUM(G58:G60)</f>
        <v>236.76124172471418</v>
      </c>
      <c r="H61" s="26">
        <f>+SUM(H58:H60)</f>
        <v>244.43365916780263</v>
      </c>
      <c r="I61" s="26">
        <f>+SUM(I58:I60)</f>
        <v>252.36354507420199</v>
      </c>
      <c r="J61" s="26">
        <f>+SUM(J58:J60)</f>
        <v>260.55975616619747</v>
      </c>
      <c r="K61" s="26">
        <f>+SUM(K58:K60)</f>
        <v>269.0314593466876</v>
      </c>
      <c r="L61" s="26">
        <f>+SUM(L58:L60)</f>
        <v>277.78814270937966</v>
      </c>
      <c r="M61" s="31">
        <f>+SUM(M58:M60)</f>
        <v>286.83962694389493</v>
      </c>
    </row>
    <row r="62" spans="1:14" ht="15.75" thickBot="1" x14ac:dyDescent="0.3">
      <c r="A62" s="7" t="s">
        <v>1</v>
      </c>
      <c r="B62" s="30">
        <f>+B61*35.14%</f>
        <v>70.972820240000004</v>
      </c>
      <c r="C62" s="29">
        <f>+C61*35.14%</f>
        <v>73.259658851582856</v>
      </c>
      <c r="D62" s="29">
        <f>+D61*35.14%</f>
        <v>75.622919285682102</v>
      </c>
      <c r="E62" s="29">
        <f>+E61*35.14%</f>
        <v>78.065222314516276</v>
      </c>
      <c r="F62" s="29">
        <f>+F61*35.14%</f>
        <v>80.589280280774219</v>
      </c>
      <c r="G62" s="29">
        <f>+G61*35.14%</f>
        <v>83.197900342064557</v>
      </c>
      <c r="H62" s="29">
        <f>+H61*35.14%</f>
        <v>85.893987831565838</v>
      </c>
      <c r="I62" s="29">
        <f>+I61*35.14%</f>
        <v>88.680549739074578</v>
      </c>
      <c r="J62" s="29">
        <f>+J61*35.14%</f>
        <v>91.56069831680179</v>
      </c>
      <c r="K62" s="29">
        <f>+K61*35.14%</f>
        <v>94.53765481442602</v>
      </c>
      <c r="L62" s="29">
        <f>+L61*35.14%</f>
        <v>97.614753348076007</v>
      </c>
      <c r="M62" s="28">
        <f>+M61*35.14%</f>
        <v>100.79544490808468</v>
      </c>
    </row>
    <row r="63" spans="1:14" ht="15.75" thickBot="1" x14ac:dyDescent="0.3">
      <c r="A63" s="4" t="s">
        <v>0</v>
      </c>
      <c r="B63" s="27">
        <f>+SUM(B61:B62)</f>
        <v>272.94442024</v>
      </c>
      <c r="C63" s="26">
        <f>+SUM(C61:C62)</f>
        <v>281.73905228238209</v>
      </c>
      <c r="D63" s="26">
        <f>+SUM(D61:D62)</f>
        <v>290.82758429900622</v>
      </c>
      <c r="E63" s="26">
        <f>+SUM(E61:E62)</f>
        <v>300.22009515036228</v>
      </c>
      <c r="F63" s="26">
        <f>+SUM(F61:F62)</f>
        <v>309.9270158549752</v>
      </c>
      <c r="G63" s="26">
        <f>+SUM(G61:G62)</f>
        <v>319.95914206677872</v>
      </c>
      <c r="H63" s="26">
        <f>+SUM(H61:H62)</f>
        <v>330.32764699936848</v>
      </c>
      <c r="I63" s="26">
        <f>+SUM(I61:I62)</f>
        <v>341.04409481327656</v>
      </c>
      <c r="J63" s="26">
        <f>+SUM(J61:J62)</f>
        <v>352.12045448299926</v>
      </c>
      <c r="K63" s="26">
        <f>+SUM(K61:K62)</f>
        <v>363.56911416111359</v>
      </c>
      <c r="L63" s="26">
        <f>+SUM(L61:L62)</f>
        <v>375.40289605745568</v>
      </c>
      <c r="M63" s="26">
        <f>+SUM(M61:M62)</f>
        <v>387.6350718519796</v>
      </c>
      <c r="N63" s="25" t="s">
        <v>15</v>
      </c>
    </row>
    <row r="64" spans="1:14" ht="15.75" thickBot="1" x14ac:dyDescent="0.3">
      <c r="A64" s="4" t="s">
        <v>14</v>
      </c>
      <c r="B64" s="27">
        <v>15</v>
      </c>
      <c r="C64" s="26">
        <f>B64*(1+$B$1)</f>
        <v>15.562500000000002</v>
      </c>
      <c r="D64" s="26">
        <f>C64*(1+$B$1)</f>
        <v>16.146093750000002</v>
      </c>
      <c r="E64" s="26">
        <f>D64*(1+$B$1)</f>
        <v>16.751572265625004</v>
      </c>
      <c r="F64" s="26">
        <f>E64*(1+$B$1)</f>
        <v>17.379756225585943</v>
      </c>
      <c r="G64" s="26">
        <f>F64*(1+$B$1)</f>
        <v>18.031497084045419</v>
      </c>
      <c r="H64" s="26">
        <f>G64*(1+$B$1)</f>
        <v>18.707678224697123</v>
      </c>
      <c r="I64" s="26">
        <f>H64*(1+$B$1)</f>
        <v>19.409216158123268</v>
      </c>
      <c r="J64" s="26">
        <f>I64*(1+$B$1)</f>
        <v>20.137061764052891</v>
      </c>
      <c r="K64" s="26">
        <f>J64*(1+$B$1)</f>
        <v>20.892201580204876</v>
      </c>
      <c r="L64" s="26">
        <f>K64*(1+$B$1)</f>
        <v>21.67565913946256</v>
      </c>
      <c r="M64" s="26">
        <f>L64*(1+$B$1)</f>
        <v>22.488496357192407</v>
      </c>
      <c r="N64" s="25"/>
    </row>
    <row r="65" spans="1:14" ht="15.75" thickBot="1" x14ac:dyDescent="0.3"/>
    <row r="66" spans="1:14" ht="16.5" thickBot="1" x14ac:dyDescent="0.3">
      <c r="A66" s="21" t="s">
        <v>13</v>
      </c>
      <c r="B66" s="24">
        <f>+((B63+B64)/$B$3)*100</f>
        <v>229.9508227439706</v>
      </c>
      <c r="C66" s="23">
        <f>+((C63+C64)/$B$3)*100</f>
        <v>237.42337668294371</v>
      </c>
      <c r="D66" s="23">
        <f>+((D63+D64)/$B$3)*100</f>
        <v>245.14748286935492</v>
      </c>
      <c r="E66" s="23">
        <f>+((E63+E64)/$B$3)*100</f>
        <v>253.13182192619971</v>
      </c>
      <c r="F66" s="23">
        <f>+((F63+F64)/$B$3)*100</f>
        <v>261.38537939671068</v>
      </c>
      <c r="G66" s="23">
        <f>+((G63+G64)/$B$3)*100</f>
        <v>269.91745659704856</v>
      </c>
      <c r="H66" s="23">
        <f>+((H63+H64)/$B$3)*100</f>
        <v>278.73768185918033</v>
      </c>
      <c r="I66" s="23">
        <f>+((I63+I64)/$B$3)*100</f>
        <v>287.85602217808645</v>
      </c>
      <c r="J66" s="23">
        <f>+((J63+J64)/$B$3)*100</f>
        <v>297.28279527795252</v>
      </c>
      <c r="K66" s="23">
        <f>+((K63+K64)/$B$3)*100</f>
        <v>307.02868211253673</v>
      </c>
      <c r="L66" s="23">
        <f>+((L63+L64)/$B$3)*100</f>
        <v>317.10473981545937</v>
      </c>
      <c r="M66" s="23">
        <f>+((M63+M64)/$B$3)*100</f>
        <v>327.52241511673213</v>
      </c>
      <c r="N66" s="22">
        <f>SUMPRODUCT(B66:M66,B67:M67)/SUM(B67:M67)</f>
        <v>280.91118212770908</v>
      </c>
    </row>
    <row r="67" spans="1:14" ht="15.75" thickBot="1" x14ac:dyDescent="0.3">
      <c r="A67" s="21" t="s">
        <v>12</v>
      </c>
      <c r="B67" s="20"/>
      <c r="C67" s="19"/>
      <c r="D67" s="19"/>
      <c r="E67" s="19">
        <v>100</v>
      </c>
      <c r="F67" s="19"/>
      <c r="G67" s="19"/>
      <c r="H67" s="19"/>
      <c r="I67" s="19">
        <v>400</v>
      </c>
      <c r="J67" s="19"/>
      <c r="K67" s="19"/>
      <c r="L67" s="19"/>
      <c r="M67" s="19"/>
      <c r="N67" s="18">
        <f>SUM(B67:M67)</f>
        <v>500</v>
      </c>
    </row>
    <row r="69" spans="1:14" ht="15.75" thickBot="1" x14ac:dyDescent="0.3">
      <c r="B69" s="17" t="s">
        <v>11</v>
      </c>
      <c r="C69" s="17" t="s">
        <v>10</v>
      </c>
    </row>
    <row r="70" spans="1:14" ht="15.75" thickBot="1" x14ac:dyDescent="0.3">
      <c r="B70" s="16">
        <v>44713</v>
      </c>
      <c r="C70" s="15">
        <v>44713</v>
      </c>
    </row>
    <row r="71" spans="1:14" x14ac:dyDescent="0.25">
      <c r="A71" s="14" t="s">
        <v>9</v>
      </c>
      <c r="B71" s="13" t="s">
        <v>8</v>
      </c>
      <c r="C71" s="12" t="s">
        <v>8</v>
      </c>
    </row>
    <row r="72" spans="1:14" x14ac:dyDescent="0.25">
      <c r="A72" s="11" t="s">
        <v>7</v>
      </c>
      <c r="B72" s="6">
        <f>G13</f>
        <v>44</v>
      </c>
      <c r="C72" s="5">
        <f>G31</f>
        <v>107.4579791619512</v>
      </c>
    </row>
    <row r="73" spans="1:14" x14ac:dyDescent="0.25">
      <c r="A73" s="11" t="s">
        <v>6</v>
      </c>
      <c r="B73" s="6">
        <f>SUM(G14:G17)</f>
        <v>78.893333333333331</v>
      </c>
      <c r="C73" s="5">
        <f>G32</f>
        <v>105.5143456</v>
      </c>
    </row>
    <row r="74" spans="1:14" x14ac:dyDescent="0.25">
      <c r="A74" s="11" t="s">
        <v>5</v>
      </c>
      <c r="B74" s="6">
        <f>G18</f>
        <v>2.6666666666666665</v>
      </c>
      <c r="C74" s="5">
        <f>G34+G33</f>
        <v>47.173333333333332</v>
      </c>
    </row>
    <row r="75" spans="1:14" x14ac:dyDescent="0.25">
      <c r="A75" s="10" t="s">
        <v>4</v>
      </c>
      <c r="B75" s="9">
        <f>+SUM(B72:B74)</f>
        <v>125.56</v>
      </c>
      <c r="C75" s="8">
        <f>+SUM(C72:C74)</f>
        <v>260.14565809528455</v>
      </c>
    </row>
    <row r="76" spans="1:14" x14ac:dyDescent="0.25">
      <c r="A76" s="11" t="s">
        <v>3</v>
      </c>
      <c r="B76" s="6">
        <f>G20</f>
        <v>188.84</v>
      </c>
      <c r="C76" s="5">
        <f>G36</f>
        <v>66.666666666666671</v>
      </c>
    </row>
    <row r="77" spans="1:14" x14ac:dyDescent="0.25">
      <c r="A77" s="10" t="s">
        <v>2</v>
      </c>
      <c r="B77" s="9">
        <f>+B76+B75</f>
        <v>314.39999999999998</v>
      </c>
      <c r="C77" s="8">
        <f>+C76+C75</f>
        <v>326.81232476195123</v>
      </c>
    </row>
    <row r="78" spans="1:14" ht="15.75" thickBot="1" x14ac:dyDescent="0.3">
      <c r="A78" s="7" t="s">
        <v>1</v>
      </c>
      <c r="B78" s="6">
        <f>+B77*35.14%</f>
        <v>110.48015999999998</v>
      </c>
      <c r="C78" s="5">
        <f>+C77*35.14%</f>
        <v>114.84185092134966</v>
      </c>
    </row>
    <row r="79" spans="1:14" ht="15.75" thickBot="1" x14ac:dyDescent="0.3">
      <c r="A79" s="4" t="s">
        <v>0</v>
      </c>
      <c r="B79" s="3">
        <f>+B78+B77</f>
        <v>424.88015999999993</v>
      </c>
      <c r="C79" s="2">
        <f>+C78+C77</f>
        <v>441.65417568330088</v>
      </c>
    </row>
    <row r="80" spans="1:14" x14ac:dyDescent="0.25">
      <c r="B80" s="1">
        <f>+B79*0.75/1</f>
        <v>318.66011999999995</v>
      </c>
      <c r="C80" s="1">
        <f>+C79*0.75/1</f>
        <v>331.24063176247569</v>
      </c>
    </row>
  </sheetData>
  <dataConsolidate/>
  <pageMargins left="0.7" right="0.7" top="0.75" bottom="0.75" header="0.3" footer="0.3"/>
  <pageSetup paperSize="9" scale="5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CMQ-Rider</vt:lpstr>
      <vt:lpstr>'CMQ-Rider'!Área_de_impresión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SupplyDestileria</dc:creator>
  <cp:lastModifiedBy>SupplyDestileria</cp:lastModifiedBy>
  <dcterms:created xsi:type="dcterms:W3CDTF">2022-07-20T17:59:32Z</dcterms:created>
  <dcterms:modified xsi:type="dcterms:W3CDTF">2022-07-20T18:00:00Z</dcterms:modified>
</cp:coreProperties>
</file>