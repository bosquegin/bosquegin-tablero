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gime\Dropbox\COSTEOS\QUILMES - GIN TONIC BOSQUE\"/>
    </mc:Choice>
  </mc:AlternateContent>
  <xr:revisionPtr revIDLastSave="0" documentId="13_ncr:1_{065F061A-24DB-4813-80E9-D8BE5909029E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DATOS" sheetId="2" r:id="rId1"/>
    <sheet name="GIN TONIC" sheetId="4" r:id="rId2"/>
    <sheet name="Bosque Nativo -Peñon" sheetId="3" r:id="rId3"/>
    <sheet name="Planificación Insumos" sheetId="5" r:id="rId4"/>
    <sheet name="analisi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" roundtripDataSignature="AMtx7mggOXV7mT9X2LeoJv+HgFbuYHERNg=="/>
    </ext>
  </extLst>
</workbook>
</file>

<file path=xl/calcChain.xml><?xml version="1.0" encoding="utf-8"?>
<calcChain xmlns="http://schemas.openxmlformats.org/spreadsheetml/2006/main">
  <c r="C23" i="3" l="1"/>
  <c r="C24" i="3" s="1"/>
  <c r="C26" i="3" s="1"/>
  <c r="C28" i="3" s="1"/>
  <c r="C22" i="3"/>
  <c r="C20" i="3"/>
  <c r="E8" i="4"/>
  <c r="C7" i="3"/>
  <c r="D6" i="4"/>
  <c r="D5" i="4"/>
  <c r="D4" i="4"/>
  <c r="D3" i="4"/>
  <c r="E3" i="2" l="1"/>
  <c r="D22" i="3"/>
  <c r="D21" i="3"/>
  <c r="B2" i="3" l="1"/>
  <c r="L12" i="3"/>
  <c r="K12" i="3"/>
  <c r="K11" i="3"/>
  <c r="L11" i="3" s="1"/>
  <c r="E17" i="5"/>
  <c r="E8" i="5"/>
  <c r="E7" i="5"/>
  <c r="E4" i="5"/>
  <c r="H3" i="2"/>
  <c r="I11" i="2"/>
  <c r="I12" i="2"/>
  <c r="K9" i="3"/>
  <c r="K8" i="3"/>
  <c r="H12" i="3"/>
  <c r="I12" i="3" s="1"/>
  <c r="H11" i="3"/>
  <c r="I11" i="3" s="1"/>
  <c r="C29" i="3"/>
  <c r="F6" i="3"/>
  <c r="F7" i="3" s="1"/>
  <c r="C19" i="3"/>
  <c r="C18" i="3"/>
  <c r="C17" i="3"/>
  <c r="C16" i="3"/>
  <c r="C14" i="3"/>
  <c r="C12" i="3"/>
  <c r="C11" i="3"/>
  <c r="E6" i="2"/>
  <c r="E7" i="2" l="1"/>
  <c r="E5" i="4"/>
  <c r="E6" i="4"/>
  <c r="E3" i="4"/>
  <c r="E4" i="4"/>
  <c r="E7" i="4" l="1"/>
  <c r="E9" i="4" s="1"/>
  <c r="E10" i="4" s="1"/>
  <c r="E14" i="2" l="1"/>
  <c r="C15" i="3" s="1"/>
  <c r="C10" i="3"/>
  <c r="C9" i="3"/>
  <c r="E10" i="2"/>
  <c r="L20" i="3"/>
  <c r="L21" i="3" s="1"/>
  <c r="O21" i="3" l="1"/>
  <c r="P21" i="3" s="1"/>
  <c r="L23" i="3" l="1"/>
  <c r="C3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A18" authorId="0" shapeId="0" xr:uid="{BA04C4D3-B51F-4117-85EB-A4F651C700E6}">
      <text>
        <r>
          <rPr>
            <b/>
            <sz val="9"/>
            <color indexed="81"/>
            <rFont val="Tahoma"/>
            <family val="2"/>
          </rPr>
          <t>13 por Pallet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D3" authorId="0" shapeId="0" xr:uid="{A8391E79-D08F-4FCC-B33B-3834031A76F3}">
      <text>
        <r>
          <rPr>
            <b/>
            <sz val="9"/>
            <color indexed="81"/>
            <rFont val="Tahoma"/>
            <family val="2"/>
          </rPr>
          <t>costo insumos líquido por botella * 2 = por litro + 20%</t>
        </r>
      </text>
    </comment>
    <comment ref="D5" authorId="0" shapeId="0" xr:uid="{2B1F256D-FBD6-4506-B906-DC9D715262F9}">
      <text>
        <r>
          <rPr>
            <b/>
            <sz val="9"/>
            <color indexed="81"/>
            <rFont val="Tahoma"/>
            <family val="2"/>
          </rPr>
          <t xml:space="preserve">costeo bosque por botella * 2 = por litro + % inflación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 Bruno</author>
  </authors>
  <commentList>
    <comment ref="C15" authorId="0" shapeId="0" xr:uid="{6721172D-D290-449A-BF0D-8D1DB0A7E6E8}">
      <text>
        <r>
          <rPr>
            <b/>
            <sz val="9"/>
            <color indexed="81"/>
            <rFont val="Calibri"/>
            <family val="2"/>
          </rPr>
          <t xml:space="preserve"> Bruno:</t>
        </r>
        <r>
          <rPr>
            <sz val="9"/>
            <color indexed="81"/>
            <rFont val="Calibri"/>
            <family val="2"/>
          </rPr>
          <t xml:space="preserve">
Cantidad de litros x 1,5% de desperdicio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A16" authorId="0" shapeId="0" xr:uid="{0178A2EB-2E16-47CD-9734-4F09C8C7F8E8}">
      <text>
        <r>
          <rPr>
            <b/>
            <sz val="9"/>
            <color indexed="81"/>
            <rFont val="Tahoma"/>
            <family val="2"/>
          </rPr>
          <t>13 por Pallet</t>
        </r>
      </text>
    </comment>
  </commentList>
</comments>
</file>

<file path=xl/sharedStrings.xml><?xml version="1.0" encoding="utf-8"?>
<sst xmlns="http://schemas.openxmlformats.org/spreadsheetml/2006/main" count="202" uniqueCount="148">
  <si>
    <t>USD CMQ BGT 2022</t>
  </si>
  <si>
    <t>Dolar hoy</t>
  </si>
  <si>
    <t>GT</t>
  </si>
  <si>
    <t>COPACKER: PEÑON DEL AGUILA</t>
  </si>
  <si>
    <t>proveedor</t>
  </si>
  <si>
    <t>Plazo</t>
  </si>
  <si>
    <t>Observaciones</t>
  </si>
  <si>
    <t>Produccion (latas)</t>
  </si>
  <si>
    <t>litros en lata</t>
  </si>
  <si>
    <t>Producción (HL)</t>
  </si>
  <si>
    <t>COSTO POR LATA</t>
  </si>
  <si>
    <t>4x6 269</t>
  </si>
  <si>
    <t>Lata+Tapa</t>
  </si>
  <si>
    <t>CMQ</t>
  </si>
  <si>
    <t>Funda termocontraible</t>
  </si>
  <si>
    <t>Raal</t>
  </si>
  <si>
    <t>ver si mejora por 120K (coti actual por 60k)</t>
  </si>
  <si>
    <t>6-pack Impreso</t>
  </si>
  <si>
    <t>Petropack</t>
  </si>
  <si>
    <t>VER ESTO CON BRUNO. Pedido mínimo? 500kg. Plazo de pago?</t>
  </si>
  <si>
    <t>4x6-pack (Termo)</t>
  </si>
  <si>
    <t>Bandeja</t>
  </si>
  <si>
    <t>Quien provee?</t>
  </si>
  <si>
    <t>Liquido</t>
  </si>
  <si>
    <t>JM</t>
  </si>
  <si>
    <t>Transporte Cisterna</t>
  </si>
  <si>
    <t>Silvia Casari?</t>
  </si>
  <si>
    <t>camión de 35.000</t>
  </si>
  <si>
    <t>Streetch</t>
  </si>
  <si>
    <t>Pallet</t>
  </si>
  <si>
    <t>Interlayer</t>
  </si>
  <si>
    <t>Cartocor</t>
  </si>
  <si>
    <t>COSTO INSUMOS</t>
  </si>
  <si>
    <t>Costo Fraccionamiento/Envasado</t>
  </si>
  <si>
    <t>Talca</t>
  </si>
  <si>
    <t>latas x pallet</t>
  </si>
  <si>
    <t>Gestion insumos (20%)</t>
  </si>
  <si>
    <t>COSTO PRODUCTO SIN IMPUESTOS</t>
  </si>
  <si>
    <t>VIC 1 pallet</t>
  </si>
  <si>
    <t>Impuestos Internos 8,7%</t>
  </si>
  <si>
    <t>Costo Logistico de Insumos (Latas MDZ)</t>
  </si>
  <si>
    <t>No entra en nuestro costeo/factura</t>
  </si>
  <si>
    <t>TOTAL x Lata ($)</t>
  </si>
  <si>
    <t>VIC x Lata en USD</t>
  </si>
  <si>
    <t>Volumen Referencia (latas)</t>
  </si>
  <si>
    <t>VIC/HL en USD</t>
  </si>
  <si>
    <t>COSTO POR LITRO</t>
  </si>
  <si>
    <t>Packaging</t>
  </si>
  <si>
    <t>Indirectos</t>
  </si>
  <si>
    <t>Costo Producción + Rentabilidad + Financieros</t>
  </si>
  <si>
    <t>Impuestos Internos 35,14%</t>
  </si>
  <si>
    <t>TOTAL x Litro ($)</t>
  </si>
  <si>
    <t>BNA</t>
  </si>
  <si>
    <t>Lata + Tapa</t>
  </si>
  <si>
    <t>Pesos</t>
  </si>
  <si>
    <t>USD</t>
  </si>
  <si>
    <t>Costos 60.000 U</t>
  </si>
  <si>
    <t>Petropack/Envases Lavalle</t>
  </si>
  <si>
    <t>* Revisar - Presup pte</t>
  </si>
  <si>
    <t>,</t>
  </si>
  <si>
    <t>* Revisar</t>
  </si>
  <si>
    <t>Cotización por Litro de Gin Tonic</t>
  </si>
  <si>
    <t>Componente</t>
  </si>
  <si>
    <t>Cantidad a utilizar</t>
  </si>
  <si>
    <t>Unidad de uso</t>
  </si>
  <si>
    <t>Costo insumo unidad de uso en PESOS</t>
  </si>
  <si>
    <t>Costo estimado de producción x Litro en PESOS</t>
  </si>
  <si>
    <t>Gin Bosque x litro</t>
  </si>
  <si>
    <t>Litros</t>
  </si>
  <si>
    <t>Tonica produccion propia</t>
  </si>
  <si>
    <t>Indirectos + mo</t>
  </si>
  <si>
    <t>Servicio de fazonado Gin</t>
  </si>
  <si>
    <t>Margen de seguridad</t>
  </si>
  <si>
    <t>Servicio de fazonado Gin Tonic</t>
  </si>
  <si>
    <t>*incluye: Mano de obra, Destilación, Producción de la tónica según receta propia de JM, Mezcla</t>
  </si>
  <si>
    <t>TOTAL</t>
  </si>
  <si>
    <t>Fason x 269</t>
  </si>
  <si>
    <t>Fórmula de ajuste de precios</t>
  </si>
  <si>
    <t>Insumos</t>
  </si>
  <si>
    <t>Según cotización del mes * Desde 05-2022 se acuerda aplicar 20% sobre costo de insumos</t>
  </si>
  <si>
    <t>Servicios e indirectos</t>
  </si>
  <si>
    <t>Según Indice de Inflación INDEC</t>
  </si>
  <si>
    <t>Fazonado</t>
  </si>
  <si>
    <t xml:space="preserve">Según paritarias personal JM </t>
  </si>
  <si>
    <t>Ajustes habitualmente Febrerio y Agosto</t>
  </si>
  <si>
    <t>Unidades OC</t>
  </si>
  <si>
    <t>Total Litros</t>
  </si>
  <si>
    <r>
      <t xml:space="preserve">Cuánto líquido necesitan? por el desperdicio en talca - </t>
    </r>
    <r>
      <rPr>
        <b/>
        <sz val="11"/>
        <color theme="1"/>
        <rFont val="Calibri"/>
        <family val="2"/>
        <scheme val="minor"/>
      </rPr>
      <t>1,5% desperdicio</t>
    </r>
  </si>
  <si>
    <t>precio independiente de cant litros - Máximo 35,000 Lts</t>
  </si>
  <si>
    <t>Latas Por Bulto</t>
  </si>
  <si>
    <t>Bultos x 24 por Pallet</t>
  </si>
  <si>
    <t>Pallets</t>
  </si>
  <si>
    <t>Silvia Casari? Talca 30-40 d</t>
  </si>
  <si>
    <t>referencia CMQ</t>
  </si>
  <si>
    <t>*</t>
  </si>
  <si>
    <t>1,66 GRS POR KILO</t>
  </si>
  <si>
    <t>0,89 GRS POR KILO</t>
  </si>
  <si>
    <t>13 Pisos - 12 por piso</t>
  </si>
  <si>
    <t>Latas por Pallet</t>
  </si>
  <si>
    <t>estimado CMQ - Ok 14-09</t>
  </si>
  <si>
    <t>Revisar Presupuesto</t>
  </si>
  <si>
    <t>*14-09-22 Aumento de USD 72 a USD 86 el millar</t>
  </si>
  <si>
    <t>1,66 Grs por Kilo</t>
  </si>
  <si>
    <t>0,89 Grs por Kilo</t>
  </si>
  <si>
    <t>Líquido Gin Tonic Bosque por Lata</t>
  </si>
  <si>
    <t>Corroborar costo, cantidad a usar, proveedor, plazo</t>
  </si>
  <si>
    <t>enviar + 1,5% desp</t>
  </si>
  <si>
    <t>*Desperdicio s/Talca 1,5% - Enviar 16.382 Litros</t>
  </si>
  <si>
    <t>Costo por Cisterna - Cap Max 35.000 litros</t>
  </si>
  <si>
    <t>Estimado CMQ - Ok según estimado Peñón</t>
  </si>
  <si>
    <t>Solicitar Presupuesto, cantidad a usar 13 por pallet, proveedor Cartocor, plazo</t>
  </si>
  <si>
    <t>Plazo de pago- 30+10</t>
  </si>
  <si>
    <t>* Actualizar CMQ</t>
  </si>
  <si>
    <t>Concepto/Insumo</t>
  </si>
  <si>
    <t>Litros a Producir</t>
  </si>
  <si>
    <t>Fecha Finalización Talca</t>
  </si>
  <si>
    <t>Fecha Producción Gin Tonic</t>
  </si>
  <si>
    <t>Fecha Entrega Líquido a Talca</t>
  </si>
  <si>
    <t>Fecha</t>
  </si>
  <si>
    <t xml:space="preserve">Funda Termocontraible </t>
  </si>
  <si>
    <t>Proveedor</t>
  </si>
  <si>
    <t>Quilmes</t>
  </si>
  <si>
    <t>Artes Graficas</t>
  </si>
  <si>
    <t>Envases Lavalle</t>
  </si>
  <si>
    <t>Ver proveedor</t>
  </si>
  <si>
    <t>Proveedor Habitual</t>
  </si>
  <si>
    <t>Cartocor ?</t>
  </si>
  <si>
    <t>Fraccionamiento Talca</t>
  </si>
  <si>
    <t>Plazo Pago</t>
  </si>
  <si>
    <t>Fecha Pago</t>
  </si>
  <si>
    <t>Fecha Cobro</t>
  </si>
  <si>
    <t>* Costo Análisis del líquido</t>
  </si>
  <si>
    <r>
      <t xml:space="preserve">reservado turno para enlatar 60.000 unidades de lata 269ml en la </t>
    </r>
    <r>
      <rPr>
        <b/>
        <sz val="11"/>
        <color rgb="FFFF0000"/>
        <rFont val="Calibri"/>
        <family val="2"/>
        <scheme val="minor"/>
      </rPr>
      <t>última semana de octubre</t>
    </r>
    <r>
      <rPr>
        <sz val="11"/>
        <color theme="1"/>
        <rFont val="Calibri"/>
        <family val="2"/>
        <scheme val="minor"/>
      </rPr>
      <t>. Es factible hacerlo en esa semana, de todos modos hay que ir vendo como llegamos a la fecha. Lo que no puede pasar es que me avisen sobre la fecha que no lleguen porque la programación es mes a mes y pierdo el día de producción.</t>
    </r>
  </si>
  <si>
    <t xml:space="preserve">a medida que esté listo el packagin se lo puedan enviar una semana antes.  No hay problema. </t>
  </si>
  <si>
    <t>Envía Quilmes a Talca directamente - Factura a JMK  -Las latas deben llegar 3 días antes del fraccionamiento, no antes, porque no hay espacio para almacenar.</t>
  </si>
  <si>
    <r>
      <t xml:space="preserve">El camión cisterna debe llegar con </t>
    </r>
    <r>
      <rPr>
        <b/>
        <sz val="11"/>
        <color rgb="FFFF0000"/>
        <rFont val="Calibri"/>
        <family val="2"/>
        <scheme val="minor"/>
      </rPr>
      <t>Remito y Análisis de la bebida</t>
    </r>
    <r>
      <rPr>
        <sz val="11"/>
        <color rgb="FFFF0000"/>
        <rFont val="Calibri"/>
        <family val="2"/>
        <scheme val="minor"/>
      </rPr>
      <t>, donde se indique alcohol, NTU, PH, Acidez, Brix y cualquier otro parámetro que ustedes midan. Debe llegar precintado en válvulas y tapas, con la numeración colocada en el remito o protocolo aparte. (Si, con el de ustedes es suficiente. Cuando llega el camión lo muestreamos y se compara contra ese análisis que nos envían.
Si todo esta OK, descargamos el líquido y fraccionamos.)</t>
    </r>
  </si>
  <si>
    <r>
      <t xml:space="preserve">el líquido hay que coordinar con camión cisterna para que le llegue </t>
    </r>
    <r>
      <rPr>
        <b/>
        <sz val="11"/>
        <color theme="1"/>
        <rFont val="Calibri"/>
        <family val="2"/>
        <scheme val="minor"/>
      </rPr>
      <t>1 día antes</t>
    </r>
  </si>
  <si>
    <t>** Ver cantidad para enviar a Talca??</t>
  </si>
  <si>
    <t>Lucas Millan</t>
  </si>
  <si>
    <t>Silvia</t>
  </si>
  <si>
    <t>Ver aprobación de Artes - luego 40 dias para produccion</t>
  </si>
  <si>
    <t>plazo pago contra entrega según fecha factura</t>
  </si>
  <si>
    <t>*costo insumos  según cotización 10-2022 Bosque</t>
  </si>
  <si>
    <t>actualizado a Octubre</t>
  </si>
  <si>
    <t>* según cotización Bosque 10-2022</t>
  </si>
  <si>
    <t>Valor al 31/10</t>
  </si>
  <si>
    <t>* Valores Actualizados al 31-10-2022. Sujetos a revisión al momento de la producción definitiva. Ajustar OC según precio confirmado.</t>
  </si>
  <si>
    <t>Polimeros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</si>
</sst>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"/>
    <numFmt numFmtId="165" formatCode="_-* #,##0.0_-;\-* #,##0.0_-;_-* &quot;-&quot;??_-;_-@"/>
    <numFmt numFmtId="166" formatCode="_-* #,##0.00_-;\-* #,##0.00_-;_-* &quot;-&quot;??_-;_-@"/>
    <numFmt numFmtId="167" formatCode="_-* #,##0.000_-;\-* #,##0.000_-;_-* &quot;-&quot;??_-;_-@"/>
    <numFmt numFmtId="168" formatCode="_-* #,##0.000_-;\-* #,##0.000_-;_-* &quot;-&quot;??_-;_-@_-"/>
    <numFmt numFmtId="169" formatCode="[$$]#,##0.00"/>
    <numFmt numFmtId="170" formatCode="_-* #,##0_-;\-* #,##0_-;_-* &quot;-&quot;??_-;_-@_-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595959"/>
        <bgColor rgb="FF59595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5"/>
        <bgColor rgb="FFE7E6E6"/>
      </patternFill>
    </fill>
    <fill>
      <patternFill patternType="solid">
        <fgColor rgb="FFFFFF00"/>
        <bgColor rgb="FFE7E6E6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14">
    <xf numFmtId="0" fontId="0" fillId="0" borderId="0" xfId="0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/>
    </xf>
    <xf numFmtId="17" fontId="7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9" fillId="3" borderId="4" xfId="0" applyFont="1" applyFill="1" applyBorder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164" fontId="9" fillId="3" borderId="5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165" fontId="9" fillId="3" borderId="6" xfId="0" applyNumberFormat="1" applyFont="1" applyFill="1" applyBorder="1" applyAlignment="1">
      <alignment horizontal="center"/>
    </xf>
    <xf numFmtId="165" fontId="9" fillId="3" borderId="7" xfId="0" applyNumberFormat="1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5" xfId="0" applyFont="1" applyBorder="1"/>
    <xf numFmtId="4" fontId="13" fillId="0" borderId="4" xfId="0" applyNumberFormat="1" applyFont="1" applyBorder="1" applyAlignment="1">
      <alignment horizontal="center" vertical="center"/>
    </xf>
    <xf numFmtId="4" fontId="13" fillId="0" borderId="5" xfId="0" applyNumberFormat="1" applyFont="1" applyBorder="1" applyAlignment="1">
      <alignment horizontal="center" vertical="center"/>
    </xf>
    <xf numFmtId="0" fontId="12" fillId="0" borderId="9" xfId="0" applyFont="1" applyBorder="1"/>
    <xf numFmtId="4" fontId="13" fillId="5" borderId="5" xfId="0" applyNumberFormat="1" applyFont="1" applyFill="1" applyBorder="1" applyAlignment="1">
      <alignment horizontal="center" vertical="center"/>
    </xf>
    <xf numFmtId="4" fontId="13" fillId="0" borderId="10" xfId="0" applyNumberFormat="1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166" fontId="13" fillId="0" borderId="0" xfId="0" applyNumberFormat="1" applyFont="1"/>
    <xf numFmtId="0" fontId="9" fillId="3" borderId="12" xfId="0" applyFont="1" applyFill="1" applyBorder="1"/>
    <xf numFmtId="4" fontId="5" fillId="3" borderId="13" xfId="0" applyNumberFormat="1" applyFont="1" applyFill="1" applyBorder="1" applyAlignment="1">
      <alignment horizontal="center" vertical="center"/>
    </xf>
    <xf numFmtId="4" fontId="5" fillId="3" borderId="14" xfId="0" applyNumberFormat="1" applyFont="1" applyFill="1" applyBorder="1" applyAlignment="1">
      <alignment horizontal="center" vertical="center"/>
    </xf>
    <xf numFmtId="4" fontId="5" fillId="3" borderId="12" xfId="0" applyNumberFormat="1" applyFont="1" applyFill="1" applyBorder="1" applyAlignment="1">
      <alignment horizontal="center" vertical="center"/>
    </xf>
    <xf numFmtId="4" fontId="13" fillId="0" borderId="15" xfId="0" applyNumberFormat="1" applyFont="1" applyBorder="1" applyAlignment="1">
      <alignment horizontal="center" vertical="center"/>
    </xf>
    <xf numFmtId="4" fontId="13" fillId="0" borderId="16" xfId="0" applyNumberFormat="1" applyFont="1" applyBorder="1" applyAlignment="1">
      <alignment horizontal="center" vertical="center"/>
    </xf>
    <xf numFmtId="0" fontId="6" fillId="6" borderId="0" xfId="0" applyFont="1" applyFill="1"/>
    <xf numFmtId="0" fontId="13" fillId="0" borderId="0" xfId="0" applyFont="1"/>
    <xf numFmtId="0" fontId="12" fillId="6" borderId="16" xfId="0" applyFont="1" applyFill="1" applyBorder="1"/>
    <xf numFmtId="4" fontId="13" fillId="6" borderId="17" xfId="0" applyNumberFormat="1" applyFont="1" applyFill="1" applyBorder="1" applyAlignment="1">
      <alignment horizontal="center" vertical="center"/>
    </xf>
    <xf numFmtId="4" fontId="13" fillId="6" borderId="16" xfId="0" applyNumberFormat="1" applyFont="1" applyFill="1" applyBorder="1" applyAlignment="1">
      <alignment horizontal="center" vertical="center"/>
    </xf>
    <xf numFmtId="10" fontId="13" fillId="0" borderId="0" xfId="0" applyNumberFormat="1" applyFont="1"/>
    <xf numFmtId="0" fontId="12" fillId="0" borderId="12" xfId="0" applyFont="1" applyBorder="1"/>
    <xf numFmtId="4" fontId="13" fillId="0" borderId="13" xfId="0" applyNumberFormat="1" applyFont="1" applyBorder="1" applyAlignment="1">
      <alignment horizontal="center" vertical="center"/>
    </xf>
    <xf numFmtId="4" fontId="13" fillId="6" borderId="12" xfId="0" applyNumberFormat="1" applyFont="1" applyFill="1" applyBorder="1" applyAlignment="1">
      <alignment horizontal="center" vertical="center"/>
    </xf>
    <xf numFmtId="0" fontId="6" fillId="0" borderId="16" xfId="0" applyFont="1" applyBorder="1"/>
    <xf numFmtId="0" fontId="7" fillId="7" borderId="12" xfId="0" applyFont="1" applyFill="1" applyBorder="1" applyAlignment="1">
      <alignment horizontal="center" vertical="center"/>
    </xf>
    <xf numFmtId="167" fontId="13" fillId="0" borderId="18" xfId="0" applyNumberFormat="1" applyFont="1" applyBorder="1" applyAlignment="1">
      <alignment horizontal="center" vertical="center"/>
    </xf>
    <xf numFmtId="167" fontId="13" fillId="0" borderId="12" xfId="0" applyNumberFormat="1" applyFont="1" applyBorder="1" applyAlignment="1">
      <alignment horizontal="center" vertical="center"/>
    </xf>
    <xf numFmtId="164" fontId="9" fillId="3" borderId="19" xfId="0" applyNumberFormat="1" applyFont="1" applyFill="1" applyBorder="1"/>
    <xf numFmtId="164" fontId="9" fillId="3" borderId="12" xfId="0" applyNumberFormat="1" applyFont="1" applyFill="1" applyBorder="1"/>
    <xf numFmtId="165" fontId="13" fillId="0" borderId="18" xfId="0" applyNumberFormat="1" applyFont="1" applyBorder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/>
    </xf>
    <xf numFmtId="0" fontId="12" fillId="0" borderId="21" xfId="0" applyFont="1" applyBorder="1"/>
    <xf numFmtId="0" fontId="9" fillId="3" borderId="22" xfId="0" applyFont="1" applyFill="1" applyBorder="1"/>
    <xf numFmtId="0" fontId="12" fillId="0" borderId="23" xfId="0" applyFont="1" applyBorder="1"/>
    <xf numFmtId="0" fontId="9" fillId="3" borderId="19" xfId="0" applyFont="1" applyFill="1" applyBorder="1"/>
    <xf numFmtId="17" fontId="7" fillId="8" borderId="3" xfId="0" applyNumberFormat="1" applyFont="1" applyFill="1" applyBorder="1" applyAlignment="1">
      <alignment horizontal="center" vertical="center"/>
    </xf>
    <xf numFmtId="4" fontId="13" fillId="9" borderId="5" xfId="0" applyNumberFormat="1" applyFont="1" applyFill="1" applyBorder="1" applyAlignment="1">
      <alignment horizontal="center" vertical="center"/>
    </xf>
    <xf numFmtId="164" fontId="9" fillId="10" borderId="5" xfId="0" applyNumberFormat="1" applyFont="1" applyFill="1" applyBorder="1" applyAlignment="1">
      <alignment horizontal="center"/>
    </xf>
    <xf numFmtId="4" fontId="13" fillId="8" borderId="5" xfId="0" applyNumberFormat="1" applyFont="1" applyFill="1" applyBorder="1" applyAlignment="1">
      <alignment horizontal="center" vertical="center"/>
    </xf>
    <xf numFmtId="4" fontId="5" fillId="11" borderId="12" xfId="0" applyNumberFormat="1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0" fontId="4" fillId="0" borderId="0" xfId="0" applyFont="1"/>
    <xf numFmtId="168" fontId="0" fillId="0" borderId="0" xfId="1" applyNumberFormat="1" applyFont="1"/>
    <xf numFmtId="43" fontId="8" fillId="0" borderId="0" xfId="1" applyFont="1"/>
    <xf numFmtId="43" fontId="6" fillId="0" borderId="0" xfId="0" applyNumberFormat="1" applyFont="1"/>
    <xf numFmtId="0" fontId="17" fillId="0" borderId="0" xfId="0" applyFont="1"/>
    <xf numFmtId="0" fontId="5" fillId="12" borderId="4" xfId="0" applyFont="1" applyFill="1" applyBorder="1"/>
    <xf numFmtId="2" fontId="5" fillId="0" borderId="0" xfId="0" applyNumberFormat="1" applyFont="1"/>
    <xf numFmtId="0" fontId="5" fillId="13" borderId="4" xfId="0" applyFont="1" applyFill="1" applyBorder="1"/>
    <xf numFmtId="2" fontId="5" fillId="13" borderId="4" xfId="0" applyNumberFormat="1" applyFont="1" applyFill="1" applyBorder="1"/>
    <xf numFmtId="0" fontId="13" fillId="0" borderId="4" xfId="0" applyFont="1" applyBorder="1"/>
    <xf numFmtId="169" fontId="18" fillId="14" borderId="4" xfId="0" applyNumberFormat="1" applyFont="1" applyFill="1" applyBorder="1"/>
    <xf numFmtId="0" fontId="13" fillId="14" borderId="4" xfId="0" applyFont="1" applyFill="1" applyBorder="1"/>
    <xf numFmtId="169" fontId="13" fillId="0" borderId="4" xfId="0" applyNumberFormat="1" applyFont="1" applyBorder="1"/>
    <xf numFmtId="166" fontId="13" fillId="0" borderId="4" xfId="0" applyNumberFormat="1" applyFont="1" applyBorder="1"/>
    <xf numFmtId="169" fontId="19" fillId="0" borderId="0" xfId="0" applyNumberFormat="1" applyFont="1"/>
    <xf numFmtId="169" fontId="7" fillId="12" borderId="4" xfId="0" applyNumberFormat="1" applyFont="1" applyFill="1" applyBorder="1" applyAlignment="1">
      <alignment horizontal="right"/>
    </xf>
    <xf numFmtId="0" fontId="5" fillId="12" borderId="4" xfId="0" applyFont="1" applyFill="1" applyBorder="1" applyAlignment="1">
      <alignment horizontal="center"/>
    </xf>
    <xf numFmtId="0" fontId="20" fillId="12" borderId="4" xfId="0" applyFont="1" applyFill="1" applyBorder="1"/>
    <xf numFmtId="169" fontId="20" fillId="12" borderId="4" xfId="0" applyNumberFormat="1" applyFont="1" applyFill="1" applyBorder="1"/>
    <xf numFmtId="0" fontId="21" fillId="0" borderId="0" xfId="0" applyFont="1"/>
    <xf numFmtId="0" fontId="22" fillId="0" borderId="17" xfId="0" applyFont="1" applyBorder="1"/>
    <xf numFmtId="0" fontId="22" fillId="0" borderId="0" xfId="0" applyFont="1"/>
    <xf numFmtId="0" fontId="5" fillId="0" borderId="4" xfId="0" applyFont="1" applyBorder="1"/>
    <xf numFmtId="0" fontId="22" fillId="0" borderId="25" xfId="0" applyFont="1" applyBorder="1"/>
    <xf numFmtId="0" fontId="22" fillId="0" borderId="24" xfId="0" applyFont="1" applyBorder="1"/>
    <xf numFmtId="0" fontId="3" fillId="0" borderId="0" xfId="0" applyFont="1"/>
    <xf numFmtId="0" fontId="3" fillId="5" borderId="0" xfId="0" applyFont="1" applyFill="1"/>
    <xf numFmtId="170" fontId="0" fillId="0" borderId="0" xfId="1" applyNumberFormat="1" applyFont="1"/>
    <xf numFmtId="0" fontId="7" fillId="7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164" fontId="0" fillId="0" borderId="0" xfId="0" applyNumberFormat="1"/>
    <xf numFmtId="4" fontId="0" fillId="0" borderId="0" xfId="0" applyNumberFormat="1"/>
    <xf numFmtId="43" fontId="0" fillId="0" borderId="0" xfId="0" applyNumberFormat="1"/>
    <xf numFmtId="0" fontId="2" fillId="0" borderId="0" xfId="0" applyFont="1"/>
    <xf numFmtId="0" fontId="2" fillId="0" borderId="29" xfId="0" applyFont="1" applyBorder="1"/>
    <xf numFmtId="0" fontId="2" fillId="0" borderId="1" xfId="0" applyFont="1" applyBorder="1"/>
    <xf numFmtId="0" fontId="0" fillId="0" borderId="1" xfId="0" applyBorder="1"/>
    <xf numFmtId="0" fontId="0" fillId="0" borderId="30" xfId="0" applyBorder="1"/>
    <xf numFmtId="0" fontId="2" fillId="0" borderId="31" xfId="0" applyFont="1" applyBorder="1"/>
    <xf numFmtId="0" fontId="2" fillId="0" borderId="32" xfId="0" applyFont="1" applyBorder="1"/>
    <xf numFmtId="0" fontId="0" fillId="0" borderId="32" xfId="0" applyBorder="1"/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14" fontId="0" fillId="0" borderId="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21" fillId="0" borderId="33" xfId="0" applyNumberFormat="1" applyFont="1" applyBorder="1"/>
    <xf numFmtId="0" fontId="0" fillId="8" borderId="1" xfId="0" applyFill="1" applyBorder="1"/>
    <xf numFmtId="14" fontId="0" fillId="0" borderId="30" xfId="0" applyNumberFormat="1" applyBorder="1"/>
    <xf numFmtId="0" fontId="17" fillId="0" borderId="1" xfId="0" applyFont="1" applyBorder="1"/>
    <xf numFmtId="0" fontId="0" fillId="0" borderId="29" xfId="0" applyBorder="1"/>
    <xf numFmtId="0" fontId="17" fillId="0" borderId="29" xfId="0" applyFont="1" applyBorder="1"/>
    <xf numFmtId="0" fontId="3" fillId="0" borderId="29" xfId="0" applyFont="1" applyBorder="1"/>
    <xf numFmtId="0" fontId="0" fillId="0" borderId="31" xfId="0" applyBorder="1"/>
    <xf numFmtId="4" fontId="13" fillId="8" borderId="16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667800</xdr:colOff>
      <xdr:row>20</xdr:row>
      <xdr:rowOff>124347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5933E0-5354-E240-368B-33F4DCE7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7525800" cy="3743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18D5-A469-4E81-9588-523B4A0D5A15}">
  <dimension ref="A1:I21"/>
  <sheetViews>
    <sheetView workbookViewId="0">
      <pane ySplit="1" topLeftCell="A2" activePane="bottomLeft" state="frozen"/>
      <selection pane="bottomLeft" activeCell="E15" sqref="E15"/>
    </sheetView>
  </sheetViews>
  <sheetFormatPr baseColWidth="10" defaultRowHeight="15" x14ac:dyDescent="0.25"/>
  <cols>
    <col min="1" max="1" width="30.85546875" bestFit="1" customWidth="1"/>
    <col min="2" max="2" width="24.5703125" bestFit="1" customWidth="1"/>
    <col min="3" max="3" width="14.140625" customWidth="1"/>
    <col min="4" max="4" width="17.5703125" customWidth="1"/>
    <col min="5" max="5" width="16.28515625" style="57" bestFit="1" customWidth="1"/>
    <col min="6" max="6" width="17.85546875" bestFit="1" customWidth="1"/>
    <col min="7" max="7" width="20.140625" bestFit="1" customWidth="1"/>
  </cols>
  <sheetData>
    <row r="1" spans="1:9" s="5" customFormat="1" x14ac:dyDescent="0.25">
      <c r="A1" s="5" t="s">
        <v>113</v>
      </c>
      <c r="B1" s="5" t="s">
        <v>6</v>
      </c>
      <c r="E1" s="60" t="s">
        <v>56</v>
      </c>
    </row>
    <row r="2" spans="1:9" x14ac:dyDescent="0.25">
      <c r="A2" s="58" t="s">
        <v>85</v>
      </c>
      <c r="B2" s="58"/>
      <c r="C2" s="58"/>
      <c r="E2" s="60">
        <v>60000</v>
      </c>
    </row>
    <row r="3" spans="1:9" x14ac:dyDescent="0.25">
      <c r="A3" s="58" t="s">
        <v>86</v>
      </c>
      <c r="B3" s="58">
        <v>0.26900000000000002</v>
      </c>
      <c r="C3" s="58"/>
      <c r="E3" s="60">
        <f>+E2*B3</f>
        <v>16140.000000000002</v>
      </c>
      <c r="G3" s="5" t="s">
        <v>114</v>
      </c>
      <c r="H3" s="60">
        <f>+E3*1.05</f>
        <v>16947.000000000004</v>
      </c>
    </row>
    <row r="4" spans="1:9" x14ac:dyDescent="0.25">
      <c r="A4" s="58" t="s">
        <v>89</v>
      </c>
      <c r="B4" s="58"/>
      <c r="C4" s="58"/>
      <c r="E4" s="60">
        <v>24</v>
      </c>
    </row>
    <row r="5" spans="1:9" x14ac:dyDescent="0.25">
      <c r="A5" s="58" t="s">
        <v>90</v>
      </c>
      <c r="B5" s="58" t="s">
        <v>97</v>
      </c>
      <c r="C5" s="58"/>
      <c r="E5" s="60">
        <v>156</v>
      </c>
    </row>
    <row r="6" spans="1:9" x14ac:dyDescent="0.25">
      <c r="A6" s="58" t="s">
        <v>98</v>
      </c>
      <c r="B6" s="58"/>
      <c r="C6" s="58"/>
      <c r="E6" s="60">
        <f>+E4*E5</f>
        <v>3744</v>
      </c>
    </row>
    <row r="7" spans="1:9" x14ac:dyDescent="0.25">
      <c r="A7" s="58" t="s">
        <v>91</v>
      </c>
      <c r="B7" s="58"/>
      <c r="C7" s="58"/>
      <c r="E7" s="60">
        <f>+E2/E4/E5</f>
        <v>16.025641025641026</v>
      </c>
    </row>
    <row r="8" spans="1:9" x14ac:dyDescent="0.25">
      <c r="A8" s="2" t="s">
        <v>1</v>
      </c>
      <c r="B8" s="58" t="s">
        <v>52</v>
      </c>
      <c r="C8" s="58" t="s">
        <v>54</v>
      </c>
      <c r="D8" s="56">
        <v>44865</v>
      </c>
      <c r="E8" s="57">
        <v>161.5</v>
      </c>
    </row>
    <row r="9" spans="1:9" x14ac:dyDescent="0.25">
      <c r="A9" s="58" t="s">
        <v>53</v>
      </c>
      <c r="B9" s="58" t="s">
        <v>13</v>
      </c>
      <c r="C9" s="58" t="s">
        <v>54</v>
      </c>
      <c r="E9" s="57">
        <v>12.77</v>
      </c>
    </row>
    <row r="10" spans="1:9" x14ac:dyDescent="0.25">
      <c r="A10" t="s">
        <v>14</v>
      </c>
      <c r="B10" t="s">
        <v>15</v>
      </c>
      <c r="C10" s="58" t="s">
        <v>55</v>
      </c>
      <c r="D10" s="56">
        <v>44865</v>
      </c>
      <c r="E10" s="59">
        <f>86/1000</f>
        <v>8.5999999999999993E-2</v>
      </c>
      <c r="F10" s="62" t="s">
        <v>101</v>
      </c>
    </row>
    <row r="11" spans="1:9" x14ac:dyDescent="0.25">
      <c r="A11" t="s">
        <v>17</v>
      </c>
      <c r="B11" s="58" t="s">
        <v>57</v>
      </c>
      <c r="C11" s="58" t="s">
        <v>55</v>
      </c>
      <c r="E11" s="57">
        <v>6.9</v>
      </c>
      <c r="F11" s="83" t="s">
        <v>102</v>
      </c>
      <c r="G11" s="62" t="s">
        <v>58</v>
      </c>
      <c r="I11" s="90">
        <f>1.66/1000*E2</f>
        <v>99.6</v>
      </c>
    </row>
    <row r="12" spans="1:9" x14ac:dyDescent="0.25">
      <c r="A12" t="s">
        <v>20</v>
      </c>
      <c r="B12" s="58" t="s">
        <v>57</v>
      </c>
      <c r="C12" s="58" t="s">
        <v>55</v>
      </c>
      <c r="E12" s="57">
        <v>3.8</v>
      </c>
      <c r="F12" s="83" t="s">
        <v>103</v>
      </c>
      <c r="G12" s="62" t="s">
        <v>58</v>
      </c>
      <c r="I12" s="90">
        <f>0.89/1000*E2</f>
        <v>53.400000000000006</v>
      </c>
    </row>
    <row r="13" spans="1:9" x14ac:dyDescent="0.25">
      <c r="A13" t="s">
        <v>21</v>
      </c>
      <c r="B13" s="62" t="s">
        <v>22</v>
      </c>
      <c r="C13" s="83" t="s">
        <v>54</v>
      </c>
      <c r="E13" s="57">
        <v>0.04</v>
      </c>
      <c r="G13" s="62" t="s">
        <v>60</v>
      </c>
    </row>
    <row r="14" spans="1:9" x14ac:dyDescent="0.25">
      <c r="A14" s="83" t="s">
        <v>104</v>
      </c>
      <c r="B14" t="s">
        <v>24</v>
      </c>
      <c r="C14" s="83" t="s">
        <v>54</v>
      </c>
      <c r="E14" s="57">
        <f>+'GIN TONIC'!E10</f>
        <v>50.440862500000001</v>
      </c>
    </row>
    <row r="15" spans="1:9" x14ac:dyDescent="0.25">
      <c r="A15" t="s">
        <v>25</v>
      </c>
      <c r="B15" s="58" t="s">
        <v>92</v>
      </c>
      <c r="C15" s="83" t="s">
        <v>54</v>
      </c>
      <c r="E15" s="60">
        <v>260000</v>
      </c>
      <c r="F15" s="58" t="s">
        <v>88</v>
      </c>
    </row>
    <row r="16" spans="1:9" x14ac:dyDescent="0.25">
      <c r="A16" t="s">
        <v>28</v>
      </c>
      <c r="C16" s="83" t="s">
        <v>54</v>
      </c>
      <c r="E16" s="57">
        <v>0.54</v>
      </c>
      <c r="F16" s="62" t="s">
        <v>99</v>
      </c>
    </row>
    <row r="17" spans="1:6" x14ac:dyDescent="0.25">
      <c r="A17" t="s">
        <v>29</v>
      </c>
      <c r="C17" s="83" t="s">
        <v>54</v>
      </c>
      <c r="E17" s="57">
        <v>2.06</v>
      </c>
      <c r="F17" s="62" t="s">
        <v>99</v>
      </c>
    </row>
    <row r="18" spans="1:6" x14ac:dyDescent="0.25">
      <c r="A18" s="58" t="s">
        <v>30</v>
      </c>
      <c r="B18" t="s">
        <v>31</v>
      </c>
      <c r="C18" s="83" t="s">
        <v>54</v>
      </c>
      <c r="E18" s="57">
        <v>7.14</v>
      </c>
      <c r="F18" s="62" t="s">
        <v>100</v>
      </c>
    </row>
    <row r="19" spans="1:6" x14ac:dyDescent="0.25">
      <c r="A19" s="77" t="s">
        <v>131</v>
      </c>
      <c r="C19" s="58"/>
      <c r="E19"/>
    </row>
    <row r="20" spans="1:6" x14ac:dyDescent="0.25">
      <c r="E20"/>
    </row>
    <row r="21" spans="1:6" x14ac:dyDescent="0.25">
      <c r="E21"/>
    </row>
  </sheetData>
  <conditionalFormatting sqref="E1:E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8041-6BAC-4CAF-8FF7-8CAB5BD46278}">
  <dimension ref="A1:F971"/>
  <sheetViews>
    <sheetView workbookViewId="0">
      <selection activeCell="F15" sqref="F15"/>
    </sheetView>
  </sheetViews>
  <sheetFormatPr baseColWidth="10" defaultColWidth="14.42578125" defaultRowHeight="15" x14ac:dyDescent="0.25"/>
  <cols>
    <col min="1" max="1" width="30.7109375" customWidth="1"/>
    <col min="2" max="2" width="18.28515625" customWidth="1"/>
    <col min="3" max="3" width="26.7109375" customWidth="1"/>
    <col min="4" max="4" width="35.140625" customWidth="1"/>
    <col min="5" max="5" width="46.85546875" customWidth="1"/>
    <col min="6" max="6" width="27.85546875" customWidth="1"/>
  </cols>
  <sheetData>
    <row r="1" spans="1:6" ht="12.75" customHeight="1" x14ac:dyDescent="0.25">
      <c r="A1" s="63" t="s">
        <v>61</v>
      </c>
      <c r="B1" s="1"/>
      <c r="C1" s="1"/>
      <c r="D1" s="64"/>
      <c r="E1" s="64"/>
    </row>
    <row r="2" spans="1:6" ht="12.75" customHeight="1" x14ac:dyDescent="0.25">
      <c r="A2" s="65" t="s">
        <v>62</v>
      </c>
      <c r="B2" s="65" t="s">
        <v>63</v>
      </c>
      <c r="C2" s="65" t="s">
        <v>64</v>
      </c>
      <c r="D2" s="66" t="s">
        <v>65</v>
      </c>
      <c r="E2" s="66" t="s">
        <v>66</v>
      </c>
    </row>
    <row r="3" spans="1:6" ht="12.75" customHeight="1" x14ac:dyDescent="0.25">
      <c r="A3" s="67" t="s">
        <v>67</v>
      </c>
      <c r="B3" s="67">
        <v>0.2</v>
      </c>
      <c r="C3" s="67" t="s">
        <v>68</v>
      </c>
      <c r="D3" s="68">
        <f>(111.31*2)*1.2</f>
        <v>267.14400000000001</v>
      </c>
      <c r="E3" s="68">
        <f>+D3*B3</f>
        <v>53.428800000000003</v>
      </c>
      <c r="F3" s="30" t="s">
        <v>142</v>
      </c>
    </row>
    <row r="4" spans="1:6" ht="12.75" customHeight="1" x14ac:dyDescent="0.25">
      <c r="A4" s="67" t="s">
        <v>69</v>
      </c>
      <c r="B4" s="67">
        <v>0.8</v>
      </c>
      <c r="C4" s="67" t="s">
        <v>68</v>
      </c>
      <c r="D4" s="68">
        <f>20*1.15</f>
        <v>23</v>
      </c>
      <c r="E4" s="68">
        <f t="shared" ref="E4" si="0">+D4*B4</f>
        <v>18.400000000000002</v>
      </c>
    </row>
    <row r="5" spans="1:6" ht="12.75" customHeight="1" x14ac:dyDescent="0.25">
      <c r="A5" s="67" t="s">
        <v>70</v>
      </c>
      <c r="B5" s="69">
        <v>0.2</v>
      </c>
      <c r="C5" s="67" t="s">
        <v>68</v>
      </c>
      <c r="D5" s="70">
        <f>(46.14*2)</f>
        <v>92.28</v>
      </c>
      <c r="E5" s="70">
        <f>D5*B5</f>
        <v>18.456</v>
      </c>
    </row>
    <row r="6" spans="1:6" ht="12.75" customHeight="1" x14ac:dyDescent="0.25">
      <c r="A6" s="67" t="s">
        <v>71</v>
      </c>
      <c r="B6" s="69">
        <v>0.2</v>
      </c>
      <c r="C6" s="67" t="s">
        <v>68</v>
      </c>
      <c r="D6" s="70">
        <f>(60.59*2)*0.7</f>
        <v>84.825999999999993</v>
      </c>
      <c r="E6" s="70">
        <f>+B6*D6</f>
        <v>16.965199999999999</v>
      </c>
      <c r="F6" s="30" t="s">
        <v>144</v>
      </c>
    </row>
    <row r="7" spans="1:6" ht="12.75" customHeight="1" x14ac:dyDescent="0.25">
      <c r="A7" s="67" t="s">
        <v>72</v>
      </c>
      <c r="B7" s="67">
        <v>0.05</v>
      </c>
      <c r="C7" s="67"/>
      <c r="D7" s="70"/>
      <c r="E7" s="70">
        <f>+B7*(E3+E4+E5+E6)</f>
        <v>5.3625000000000007</v>
      </c>
    </row>
    <row r="8" spans="1:6" ht="12.75" customHeight="1" x14ac:dyDescent="0.25">
      <c r="A8" s="67" t="s">
        <v>73</v>
      </c>
      <c r="B8" s="67"/>
      <c r="C8" s="71"/>
      <c r="D8" s="70"/>
      <c r="E8" s="70">
        <f>70*1.07</f>
        <v>74.900000000000006</v>
      </c>
      <c r="F8" s="30" t="s">
        <v>74</v>
      </c>
    </row>
    <row r="9" spans="1:6" ht="15.75" customHeight="1" x14ac:dyDescent="0.25">
      <c r="D9" s="72"/>
      <c r="E9" s="73">
        <f>SUM(E3:E8)</f>
        <v>187.51249999999999</v>
      </c>
      <c r="F9" s="74" t="s">
        <v>75</v>
      </c>
    </row>
    <row r="10" spans="1:6" ht="15.75" customHeight="1" x14ac:dyDescent="0.25">
      <c r="A10" s="30"/>
      <c r="D10" s="75" t="s">
        <v>76</v>
      </c>
      <c r="E10" s="76">
        <f>E9*0.269</f>
        <v>50.440862500000001</v>
      </c>
      <c r="F10" s="77" t="s">
        <v>143</v>
      </c>
    </row>
    <row r="11" spans="1:6" ht="15.75" customHeight="1" x14ac:dyDescent="0.25">
      <c r="A11" s="67" t="s">
        <v>77</v>
      </c>
      <c r="B11" s="67"/>
      <c r="C11" s="79"/>
      <c r="D11" s="78"/>
    </row>
    <row r="12" spans="1:6" ht="15.75" customHeight="1" x14ac:dyDescent="0.25">
      <c r="A12" s="67" t="s">
        <v>78</v>
      </c>
      <c r="B12" s="80" t="s">
        <v>79</v>
      </c>
      <c r="C12" s="79"/>
      <c r="D12" s="78"/>
    </row>
    <row r="13" spans="1:6" ht="15.75" customHeight="1" x14ac:dyDescent="0.25">
      <c r="A13" s="67" t="s">
        <v>80</v>
      </c>
      <c r="B13" s="67" t="s">
        <v>81</v>
      </c>
      <c r="C13" s="79"/>
      <c r="D13" s="78"/>
    </row>
    <row r="14" spans="1:6" ht="15.75" customHeight="1" x14ac:dyDescent="0.25">
      <c r="A14" s="67" t="s">
        <v>82</v>
      </c>
      <c r="B14" s="67" t="s">
        <v>83</v>
      </c>
      <c r="C14" s="81" t="s">
        <v>84</v>
      </c>
      <c r="D14" s="82"/>
    </row>
    <row r="15" spans="1:6" ht="15.75" customHeight="1" x14ac:dyDescent="0.25">
      <c r="D15" s="58" t="s">
        <v>59</v>
      </c>
    </row>
    <row r="16" spans="1:6" ht="15.75" customHeight="1" x14ac:dyDescent="0.25"/>
    <row r="17" spans="1:1" ht="15.75" customHeight="1" x14ac:dyDescent="0.25"/>
    <row r="18" spans="1:1" ht="15.75" customHeight="1" x14ac:dyDescent="0.25"/>
    <row r="19" spans="1:1" ht="15.75" customHeight="1" x14ac:dyDescent="0.25"/>
    <row r="20" spans="1:1" ht="15.75" customHeight="1" x14ac:dyDescent="0.25">
      <c r="A20" s="58" t="s">
        <v>94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A9CA-3DCF-44D5-9AD4-7C1F4AF5B62C}">
  <dimension ref="A1:P1007"/>
  <sheetViews>
    <sheetView tabSelected="1" topLeftCell="A7" workbookViewId="0">
      <selection activeCell="E24" sqref="E24"/>
    </sheetView>
  </sheetViews>
  <sheetFormatPr baseColWidth="10" defaultColWidth="14.42578125" defaultRowHeight="15" x14ac:dyDescent="0.25"/>
  <cols>
    <col min="1" max="1" width="38.7109375" customWidth="1"/>
    <col min="2" max="2" width="13.42578125" customWidth="1"/>
    <col min="3" max="3" width="18.42578125" customWidth="1"/>
    <col min="4" max="4" width="11.42578125" customWidth="1"/>
    <col min="5" max="5" width="58.7109375" customWidth="1"/>
    <col min="6" max="11" width="10.85546875" customWidth="1"/>
    <col min="12" max="12" width="11.5703125" bestFit="1" customWidth="1"/>
    <col min="13" max="24" width="10.85546875" customWidth="1"/>
  </cols>
  <sheetData>
    <row r="1" spans="1:12" ht="13.5" customHeight="1" x14ac:dyDescent="0.25">
      <c r="A1" s="1" t="s">
        <v>0</v>
      </c>
      <c r="B1" s="62">
        <v>125.22</v>
      </c>
      <c r="C1" s="62" t="s">
        <v>112</v>
      </c>
    </row>
    <row r="2" spans="1:12" ht="13.5" customHeight="1" x14ac:dyDescent="0.25">
      <c r="A2" s="2" t="s">
        <v>1</v>
      </c>
      <c r="B2" s="61">
        <f>+DATOS!E8</f>
        <v>161.5</v>
      </c>
    </row>
    <row r="3" spans="1:12" ht="13.5" customHeight="1" x14ac:dyDescent="0.25"/>
    <row r="4" spans="1:12" ht="13.5" customHeight="1" thickBot="1" x14ac:dyDescent="0.3">
      <c r="A4" s="2" t="s">
        <v>2</v>
      </c>
    </row>
    <row r="5" spans="1:12" ht="13.5" customHeight="1" x14ac:dyDescent="0.25">
      <c r="A5" s="3" t="s">
        <v>3</v>
      </c>
      <c r="B5" s="4" t="s">
        <v>4</v>
      </c>
      <c r="C5" s="51" t="s">
        <v>145</v>
      </c>
      <c r="D5" s="5" t="s">
        <v>5</v>
      </c>
      <c r="E5" s="5" t="s">
        <v>6</v>
      </c>
    </row>
    <row r="6" spans="1:12" ht="13.5" customHeight="1" x14ac:dyDescent="0.25">
      <c r="A6" s="6" t="s">
        <v>7</v>
      </c>
      <c r="B6" s="7"/>
      <c r="C6" s="53">
        <v>60000</v>
      </c>
      <c r="F6" s="8">
        <f>C6*0.269</f>
        <v>16140.000000000002</v>
      </c>
      <c r="G6" s="2" t="s">
        <v>8</v>
      </c>
    </row>
    <row r="7" spans="1:12" ht="13.5" customHeight="1" thickBot="1" x14ac:dyDescent="0.3">
      <c r="A7" s="9" t="s">
        <v>9</v>
      </c>
      <c r="B7" s="10"/>
      <c r="C7" s="11">
        <f>+C6*0.269/100</f>
        <v>161.4</v>
      </c>
      <c r="F7" s="85">
        <f>+F6*1.015</f>
        <v>16382.1</v>
      </c>
      <c r="G7" s="83" t="s">
        <v>106</v>
      </c>
      <c r="K7">
        <v>1</v>
      </c>
      <c r="L7">
        <v>1000</v>
      </c>
    </row>
    <row r="8" spans="1:12" ht="13.5" customHeight="1" x14ac:dyDescent="0.25">
      <c r="A8" s="12" t="s">
        <v>10</v>
      </c>
      <c r="B8" s="13"/>
      <c r="C8" s="14" t="s">
        <v>11</v>
      </c>
      <c r="K8">
        <f>+L8/L7</f>
        <v>1.66E-3</v>
      </c>
      <c r="L8">
        <v>1.66</v>
      </c>
    </row>
    <row r="9" spans="1:12" ht="13.5" customHeight="1" x14ac:dyDescent="0.25">
      <c r="A9" s="15" t="s">
        <v>12</v>
      </c>
      <c r="B9" s="16" t="s">
        <v>13</v>
      </c>
      <c r="C9" s="17">
        <f>+DATOS!E9</f>
        <v>12.77</v>
      </c>
      <c r="D9" s="2">
        <v>45</v>
      </c>
      <c r="K9">
        <f>+K8*60000</f>
        <v>99.6</v>
      </c>
    </row>
    <row r="10" spans="1:12" ht="13.5" customHeight="1" x14ac:dyDescent="0.25">
      <c r="A10" s="18" t="s">
        <v>14</v>
      </c>
      <c r="B10" s="16" t="s">
        <v>15</v>
      </c>
      <c r="C10" s="17">
        <f>+DATOS!E10*'Bosque Nativo -Peñon'!B2</f>
        <v>13.888999999999999</v>
      </c>
      <c r="D10" s="2">
        <v>60</v>
      </c>
      <c r="E10" s="2" t="s">
        <v>16</v>
      </c>
      <c r="H10" s="2"/>
      <c r="I10">
        <v>60000</v>
      </c>
    </row>
    <row r="11" spans="1:12" ht="13.5" customHeight="1" x14ac:dyDescent="0.25">
      <c r="A11" s="15" t="s">
        <v>17</v>
      </c>
      <c r="B11" s="16" t="s">
        <v>18</v>
      </c>
      <c r="C11" s="52">
        <f>DATOS!E11*DATOS!E8*1.66/1000</f>
        <v>1.8498210000000002</v>
      </c>
      <c r="E11" s="2" t="s">
        <v>19</v>
      </c>
      <c r="F11" s="58" t="s">
        <v>95</v>
      </c>
      <c r="H11">
        <f>1000/1.66</f>
        <v>602.40963855421694</v>
      </c>
      <c r="I11">
        <f>+I10/H11</f>
        <v>99.6</v>
      </c>
      <c r="K11">
        <f>100*602</f>
        <v>60200</v>
      </c>
      <c r="L11" s="57">
        <f>+K11/6</f>
        <v>10033.333333333334</v>
      </c>
    </row>
    <row r="12" spans="1:12" ht="13.5" customHeight="1" x14ac:dyDescent="0.25">
      <c r="A12" s="18" t="s">
        <v>20</v>
      </c>
      <c r="B12" s="16" t="s">
        <v>18</v>
      </c>
      <c r="C12" s="52">
        <f>DATOS!E12*DATOS!E8*0.89/1000</f>
        <v>0.54619299999999993</v>
      </c>
      <c r="E12" s="2" t="s">
        <v>19</v>
      </c>
      <c r="F12" s="58" t="s">
        <v>96</v>
      </c>
      <c r="H12">
        <f>1000/0.89</f>
        <v>1123.5955056179776</v>
      </c>
      <c r="I12">
        <f>+I10/H12</f>
        <v>53.4</v>
      </c>
      <c r="K12">
        <f>1123*54</f>
        <v>60642</v>
      </c>
      <c r="L12" s="57">
        <f>+K12/24</f>
        <v>2526.75</v>
      </c>
    </row>
    <row r="13" spans="1:12" ht="13.5" customHeight="1" x14ac:dyDescent="0.25">
      <c r="A13" s="18" t="s">
        <v>147</v>
      </c>
      <c r="B13" s="16" t="s">
        <v>18</v>
      </c>
      <c r="C13" s="52">
        <v>6.35</v>
      </c>
      <c r="E13" s="2"/>
      <c r="F13" s="58"/>
      <c r="L13" s="57"/>
    </row>
    <row r="14" spans="1:12" ht="13.5" customHeight="1" x14ac:dyDescent="0.25">
      <c r="A14" s="18" t="s">
        <v>21</v>
      </c>
      <c r="B14" s="16" t="s">
        <v>22</v>
      </c>
      <c r="C14" s="19">
        <f>+DATOS!E13</f>
        <v>0.04</v>
      </c>
      <c r="E14" s="83" t="s">
        <v>105</v>
      </c>
      <c r="F14" s="5" t="s">
        <v>93</v>
      </c>
    </row>
    <row r="15" spans="1:12" ht="13.5" customHeight="1" x14ac:dyDescent="0.25">
      <c r="A15" s="18" t="s">
        <v>23</v>
      </c>
      <c r="B15" s="16" t="s">
        <v>24</v>
      </c>
      <c r="C15" s="54">
        <f>+DATOS!E14*1.015</f>
        <v>51.197475437499996</v>
      </c>
      <c r="E15" s="84" t="s">
        <v>107</v>
      </c>
    </row>
    <row r="16" spans="1:12" ht="13.5" customHeight="1" x14ac:dyDescent="0.25">
      <c r="A16" s="18" t="s">
        <v>25</v>
      </c>
      <c r="B16" s="20" t="s">
        <v>26</v>
      </c>
      <c r="C16" s="17">
        <f>+DATOS!E15/DATOS!E2</f>
        <v>4.333333333333333</v>
      </c>
      <c r="D16" s="2">
        <v>45</v>
      </c>
      <c r="E16" s="83" t="s">
        <v>108</v>
      </c>
      <c r="H16" s="2" t="s">
        <v>27</v>
      </c>
    </row>
    <row r="17" spans="1:16" ht="13.5" customHeight="1" x14ac:dyDescent="0.25">
      <c r="A17" s="18" t="s">
        <v>28</v>
      </c>
      <c r="B17" s="20"/>
      <c r="C17" s="19">
        <f>+DATOS!E16*DATOS!$B$3</f>
        <v>0.14526000000000003</v>
      </c>
      <c r="E17" s="83" t="s">
        <v>109</v>
      </c>
    </row>
    <row r="18" spans="1:16" ht="13.5" customHeight="1" x14ac:dyDescent="0.25">
      <c r="A18" s="18" t="s">
        <v>29</v>
      </c>
      <c r="B18" s="20"/>
      <c r="C18" s="19">
        <f>+DATOS!E17*DATOS!$B$3</f>
        <v>0.55414000000000008</v>
      </c>
      <c r="E18" s="83" t="s">
        <v>109</v>
      </c>
    </row>
    <row r="19" spans="1:16" ht="13.5" customHeight="1" thickBot="1" x14ac:dyDescent="0.3">
      <c r="A19" s="18" t="s">
        <v>30</v>
      </c>
      <c r="B19" s="21" t="s">
        <v>31</v>
      </c>
      <c r="C19" s="19">
        <f>+DATOS!E18*DATOS!$B$3</f>
        <v>1.92066</v>
      </c>
      <c r="D19" s="22"/>
      <c r="E19" s="83" t="s">
        <v>110</v>
      </c>
    </row>
    <row r="20" spans="1:16" ht="13.5" customHeight="1" thickBot="1" x14ac:dyDescent="0.3">
      <c r="A20" s="23" t="s">
        <v>32</v>
      </c>
      <c r="B20" s="24"/>
      <c r="C20" s="26">
        <f>+SUM(C9:C19)</f>
        <v>93.595882770833313</v>
      </c>
      <c r="D20" s="22"/>
      <c r="L20" s="2">
        <f>13*12</f>
        <v>156</v>
      </c>
    </row>
    <row r="21" spans="1:16" ht="13.5" customHeight="1" x14ac:dyDescent="0.25">
      <c r="A21" s="18" t="s">
        <v>33</v>
      </c>
      <c r="B21" s="27" t="s">
        <v>34</v>
      </c>
      <c r="C21" s="113">
        <v>23.55</v>
      </c>
      <c r="D21" s="29">
        <f>565.09/24</f>
        <v>23.545416666666668</v>
      </c>
      <c r="E21" s="30" t="s">
        <v>111</v>
      </c>
      <c r="L21" s="2">
        <f>+L20*24</f>
        <v>3744</v>
      </c>
      <c r="M21" s="2" t="s">
        <v>35</v>
      </c>
      <c r="O21" s="2">
        <f>120000/L21</f>
        <v>32.051282051282051</v>
      </c>
      <c r="P21" s="2">
        <f>O21*13</f>
        <v>416.66666666666669</v>
      </c>
    </row>
    <row r="22" spans="1:16" ht="13.5" customHeight="1" thickBot="1" x14ac:dyDescent="0.3">
      <c r="A22" s="31" t="s">
        <v>36</v>
      </c>
      <c r="B22" s="32" t="s">
        <v>24</v>
      </c>
      <c r="C22" s="33">
        <f>0.2*(C21+C20)</f>
        <v>23.429176554166663</v>
      </c>
      <c r="D22" s="22">
        <f>+D21/C21</f>
        <v>0.99980537862703467</v>
      </c>
    </row>
    <row r="23" spans="1:16" ht="13.5" customHeight="1" thickBot="1" x14ac:dyDescent="0.3">
      <c r="A23" s="23" t="s">
        <v>37</v>
      </c>
      <c r="B23" s="24"/>
      <c r="C23" s="26">
        <f>+SUM(C20:C22)</f>
        <v>140.57505932499998</v>
      </c>
      <c r="E23" s="34"/>
      <c r="L23" s="22" t="e">
        <f>+L21*#REF!</f>
        <v>#REF!</v>
      </c>
      <c r="M23" s="2" t="s">
        <v>38</v>
      </c>
    </row>
    <row r="24" spans="1:16" ht="13.5" customHeight="1" thickBot="1" x14ac:dyDescent="0.3">
      <c r="A24" s="35" t="s">
        <v>39</v>
      </c>
      <c r="B24" s="27"/>
      <c r="C24" s="28">
        <f>+C23*8.69%</f>
        <v>12.215972655342497</v>
      </c>
    </row>
    <row r="25" spans="1:16" ht="13.5" customHeight="1" thickBot="1" x14ac:dyDescent="0.3">
      <c r="A25" s="35" t="s">
        <v>40</v>
      </c>
      <c r="B25" s="36"/>
      <c r="C25" s="37">
        <v>0</v>
      </c>
      <c r="D25" s="2">
        <v>0</v>
      </c>
      <c r="E25" s="2" t="s">
        <v>41</v>
      </c>
    </row>
    <row r="26" spans="1:16" ht="13.5" customHeight="1" thickBot="1" x14ac:dyDescent="0.3">
      <c r="A26" s="23" t="s">
        <v>42</v>
      </c>
      <c r="B26" s="25"/>
      <c r="C26" s="55">
        <f>+SUM(C23:C24)+C25</f>
        <v>152.7910319803425</v>
      </c>
    </row>
    <row r="27" spans="1:16" ht="13.5" customHeight="1" thickBot="1" x14ac:dyDescent="0.3">
      <c r="C27" s="38"/>
      <c r="E27" s="58" t="s">
        <v>87</v>
      </c>
    </row>
    <row r="28" spans="1:16" ht="13.5" customHeight="1" thickBot="1" x14ac:dyDescent="0.3">
      <c r="A28" s="39" t="s">
        <v>43</v>
      </c>
      <c r="B28" s="40"/>
      <c r="C28" s="41">
        <f>+(C26/$B$1)</f>
        <v>1.2201807377443099</v>
      </c>
    </row>
    <row r="29" spans="1:16" ht="13.5" customHeight="1" thickBot="1" x14ac:dyDescent="0.3">
      <c r="A29" s="39" t="s">
        <v>44</v>
      </c>
      <c r="B29" s="42"/>
      <c r="C29" s="43">
        <f>+C6</f>
        <v>60000</v>
      </c>
    </row>
    <row r="30" spans="1:16" ht="13.5" customHeight="1" thickBot="1" x14ac:dyDescent="0.3">
      <c r="A30" s="39" t="s">
        <v>45</v>
      </c>
      <c r="B30" s="44"/>
      <c r="C30" s="45">
        <f>+C28/0.269*100</f>
        <v>453.59878726554268</v>
      </c>
    </row>
    <row r="31" spans="1:16" ht="13.5" customHeight="1" x14ac:dyDescent="0.25"/>
    <row r="32" spans="1:16" ht="13.5" customHeight="1" x14ac:dyDescent="0.25">
      <c r="A32" s="87" t="s">
        <v>146</v>
      </c>
      <c r="B32" s="86"/>
      <c r="C32" s="86"/>
      <c r="D32" s="86"/>
      <c r="E32" s="86"/>
      <c r="F32" s="86"/>
      <c r="G32" s="86"/>
      <c r="H32" s="86"/>
    </row>
    <row r="33" spans="1:3" ht="13.5" customHeight="1" x14ac:dyDescent="0.25">
      <c r="C33" s="88"/>
    </row>
    <row r="34" spans="1:3" ht="13.5" customHeight="1" x14ac:dyDescent="0.25">
      <c r="C34" s="85"/>
    </row>
    <row r="35" spans="1:3" ht="13.5" customHeight="1" x14ac:dyDescent="0.25">
      <c r="C35" s="89"/>
    </row>
    <row r="36" spans="1:3" ht="13.5" customHeight="1" x14ac:dyDescent="0.25"/>
    <row r="37" spans="1:3" ht="13.5" customHeight="1" x14ac:dyDescent="0.25"/>
    <row r="38" spans="1:3" ht="13.5" customHeight="1" x14ac:dyDescent="0.25"/>
    <row r="39" spans="1:3" ht="13.5" customHeight="1" x14ac:dyDescent="0.25">
      <c r="A39" s="46" t="s">
        <v>46</v>
      </c>
    </row>
    <row r="40" spans="1:3" ht="13.5" customHeight="1" x14ac:dyDescent="0.25">
      <c r="A40" s="47" t="s">
        <v>23</v>
      </c>
    </row>
    <row r="41" spans="1:3" ht="13.5" customHeight="1" x14ac:dyDescent="0.25">
      <c r="A41" s="47" t="s">
        <v>47</v>
      </c>
    </row>
    <row r="42" spans="1:3" ht="13.5" customHeight="1" x14ac:dyDescent="0.25">
      <c r="A42" s="47" t="s">
        <v>48</v>
      </c>
    </row>
    <row r="43" spans="1:3" ht="13.5" customHeight="1" x14ac:dyDescent="0.25">
      <c r="A43" s="48" t="s">
        <v>32</v>
      </c>
    </row>
    <row r="44" spans="1:3" ht="13.5" customHeight="1" x14ac:dyDescent="0.25">
      <c r="A44" s="47" t="s">
        <v>49</v>
      </c>
    </row>
    <row r="45" spans="1:3" ht="13.5" customHeight="1" x14ac:dyDescent="0.25">
      <c r="A45" s="48" t="s">
        <v>37</v>
      </c>
    </row>
    <row r="46" spans="1:3" ht="13.5" customHeight="1" thickBot="1" x14ac:dyDescent="0.3">
      <c r="A46" s="49" t="s">
        <v>50</v>
      </c>
    </row>
    <row r="47" spans="1:3" ht="13.5" customHeight="1" thickBot="1" x14ac:dyDescent="0.3">
      <c r="A47" s="50" t="s">
        <v>51</v>
      </c>
    </row>
    <row r="48" spans="1:3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  <row r="1004" ht="13.5" customHeight="1" x14ac:dyDescent="0.25"/>
    <row r="1005" ht="13.5" customHeight="1" x14ac:dyDescent="0.25"/>
    <row r="1006" ht="13.5" customHeight="1" x14ac:dyDescent="0.25"/>
    <row r="1007" ht="13.5" customHeight="1" x14ac:dyDescent="0.25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63DA-769E-483A-A2E0-8082E3DF3EDE}">
  <dimension ref="A1:G21"/>
  <sheetViews>
    <sheetView workbookViewId="0">
      <selection activeCell="A9" sqref="A9"/>
    </sheetView>
  </sheetViews>
  <sheetFormatPr baseColWidth="10" defaultRowHeight="15" x14ac:dyDescent="0.25"/>
  <cols>
    <col min="1" max="1" width="26.85546875" bestFit="1" customWidth="1"/>
    <col min="2" max="2" width="26.85546875" customWidth="1"/>
    <col min="4" max="4" width="16.7109375" bestFit="1" customWidth="1"/>
    <col min="5" max="5" width="11.85546875" bestFit="1" customWidth="1"/>
  </cols>
  <sheetData>
    <row r="1" spans="1:7" x14ac:dyDescent="0.25">
      <c r="A1" s="99"/>
      <c r="B1" s="100" t="s">
        <v>120</v>
      </c>
      <c r="C1" s="100" t="s">
        <v>118</v>
      </c>
      <c r="D1" s="100" t="s">
        <v>5</v>
      </c>
      <c r="E1" s="101" t="s">
        <v>130</v>
      </c>
    </row>
    <row r="2" spans="1:7" x14ac:dyDescent="0.25">
      <c r="A2" s="92" t="s">
        <v>116</v>
      </c>
      <c r="B2" s="93"/>
      <c r="C2" s="106"/>
      <c r="D2" s="94"/>
      <c r="E2" s="95"/>
    </row>
    <row r="3" spans="1:7" x14ac:dyDescent="0.25">
      <c r="A3" s="92" t="s">
        <v>117</v>
      </c>
      <c r="B3" s="93"/>
      <c r="C3" s="102">
        <v>44859</v>
      </c>
      <c r="D3" s="94"/>
      <c r="E3" s="95"/>
    </row>
    <row r="4" spans="1:7" ht="15.75" thickBot="1" x14ac:dyDescent="0.3">
      <c r="A4" s="96" t="s">
        <v>115</v>
      </c>
      <c r="B4" s="97"/>
      <c r="C4" s="103">
        <v>44860</v>
      </c>
      <c r="D4" s="98">
        <v>40</v>
      </c>
      <c r="E4" s="105">
        <f>+C4+D4</f>
        <v>44900</v>
      </c>
    </row>
    <row r="5" spans="1:7" ht="15.75" thickBot="1" x14ac:dyDescent="0.3"/>
    <row r="6" spans="1:7" s="5" customFormat="1" x14ac:dyDescent="0.25">
      <c r="A6" s="99" t="s">
        <v>78</v>
      </c>
      <c r="B6" s="100" t="s">
        <v>120</v>
      </c>
      <c r="C6" s="100" t="s">
        <v>118</v>
      </c>
      <c r="D6" s="100" t="s">
        <v>128</v>
      </c>
      <c r="E6" s="101" t="s">
        <v>129</v>
      </c>
    </row>
    <row r="7" spans="1:7" x14ac:dyDescent="0.25">
      <c r="A7" s="92" t="s">
        <v>53</v>
      </c>
      <c r="B7" s="93" t="s">
        <v>121</v>
      </c>
      <c r="C7" s="102">
        <v>44855</v>
      </c>
      <c r="D7" s="94">
        <v>30</v>
      </c>
      <c r="E7" s="107">
        <f>+C7+D7</f>
        <v>44885</v>
      </c>
      <c r="G7" s="5" t="s">
        <v>134</v>
      </c>
    </row>
    <row r="8" spans="1:7" x14ac:dyDescent="0.25">
      <c r="A8" s="92" t="s">
        <v>119</v>
      </c>
      <c r="B8" s="108" t="s">
        <v>122</v>
      </c>
      <c r="C8" s="102">
        <v>44849</v>
      </c>
      <c r="D8" s="108">
        <v>60</v>
      </c>
      <c r="E8" s="107">
        <f>+C8+D8</f>
        <v>44909</v>
      </c>
      <c r="G8" s="77" t="s">
        <v>140</v>
      </c>
    </row>
    <row r="9" spans="1:7" x14ac:dyDescent="0.25">
      <c r="A9" s="109" t="s">
        <v>17</v>
      </c>
      <c r="B9" s="108" t="s">
        <v>123</v>
      </c>
      <c r="C9" s="94"/>
      <c r="D9" s="93">
        <v>30</v>
      </c>
      <c r="E9" s="107"/>
      <c r="G9" s="91" t="s">
        <v>133</v>
      </c>
    </row>
    <row r="10" spans="1:7" x14ac:dyDescent="0.25">
      <c r="A10" s="109" t="s">
        <v>20</v>
      </c>
      <c r="B10" s="108" t="s">
        <v>123</v>
      </c>
      <c r="C10" s="94"/>
      <c r="D10" s="93">
        <v>30</v>
      </c>
      <c r="E10" s="107"/>
      <c r="G10" s="5" t="s">
        <v>141</v>
      </c>
    </row>
    <row r="11" spans="1:7" x14ac:dyDescent="0.25">
      <c r="A11" s="110" t="s">
        <v>21</v>
      </c>
      <c r="B11" s="93" t="s">
        <v>124</v>
      </c>
      <c r="C11" s="94"/>
      <c r="D11" s="94"/>
      <c r="E11" s="107"/>
    </row>
    <row r="12" spans="1:7" x14ac:dyDescent="0.25">
      <c r="A12" s="111" t="s">
        <v>104</v>
      </c>
      <c r="B12" s="93"/>
      <c r="C12" s="94"/>
      <c r="D12" s="94"/>
      <c r="E12" s="107"/>
      <c r="G12" s="91" t="s">
        <v>136</v>
      </c>
    </row>
    <row r="13" spans="1:7" x14ac:dyDescent="0.25">
      <c r="A13" s="110" t="s">
        <v>25</v>
      </c>
      <c r="B13" s="94"/>
      <c r="C13" s="94"/>
      <c r="D13" s="94">
        <v>30</v>
      </c>
      <c r="E13" s="107"/>
      <c r="F13" s="5" t="s">
        <v>139</v>
      </c>
      <c r="G13" s="91" t="s">
        <v>135</v>
      </c>
    </row>
    <row r="14" spans="1:7" x14ac:dyDescent="0.25">
      <c r="A14" s="110" t="s">
        <v>28</v>
      </c>
      <c r="B14" s="93" t="s">
        <v>125</v>
      </c>
      <c r="C14" s="94"/>
      <c r="D14" s="94">
        <v>30</v>
      </c>
      <c r="E14" s="107"/>
      <c r="G14" s="5" t="s">
        <v>137</v>
      </c>
    </row>
    <row r="15" spans="1:7" x14ac:dyDescent="0.25">
      <c r="A15" s="110" t="s">
        <v>29</v>
      </c>
      <c r="B15" s="93" t="s">
        <v>125</v>
      </c>
      <c r="C15" s="94"/>
      <c r="D15" s="94">
        <v>30</v>
      </c>
      <c r="E15" s="107"/>
      <c r="G15" s="5" t="s">
        <v>137</v>
      </c>
    </row>
    <row r="16" spans="1:7" x14ac:dyDescent="0.25">
      <c r="A16" s="110" t="s">
        <v>30</v>
      </c>
      <c r="B16" s="93" t="s">
        <v>126</v>
      </c>
      <c r="C16" s="94"/>
      <c r="D16" s="94">
        <v>0</v>
      </c>
      <c r="E16" s="107"/>
    </row>
    <row r="17" spans="1:7" x14ac:dyDescent="0.25">
      <c r="A17" s="92" t="s">
        <v>127</v>
      </c>
      <c r="B17" s="94"/>
      <c r="C17" s="102">
        <v>44860</v>
      </c>
      <c r="D17" s="94">
        <v>40</v>
      </c>
      <c r="E17" s="107">
        <f>+C17+D17</f>
        <v>44900</v>
      </c>
      <c r="F17" s="5" t="s">
        <v>138</v>
      </c>
      <c r="G17" s="91" t="s">
        <v>132</v>
      </c>
    </row>
    <row r="18" spans="1:7" x14ac:dyDescent="0.25">
      <c r="A18" s="109"/>
      <c r="B18" s="94"/>
      <c r="C18" s="94"/>
      <c r="D18" s="94"/>
      <c r="E18" s="107"/>
    </row>
    <row r="19" spans="1:7" x14ac:dyDescent="0.25">
      <c r="A19" s="109"/>
      <c r="B19" s="94"/>
      <c r="C19" s="94"/>
      <c r="D19" s="94"/>
      <c r="E19" s="107"/>
    </row>
    <row r="20" spans="1:7" ht="15.75" thickBot="1" x14ac:dyDescent="0.3">
      <c r="A20" s="112"/>
      <c r="B20" s="98"/>
      <c r="C20" s="98"/>
      <c r="D20" s="98"/>
      <c r="E20" s="104"/>
    </row>
    <row r="21" spans="1:7" x14ac:dyDescent="0.25">
      <c r="E21" s="5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F06F-ACB9-4281-BE40-0C0DAFE1D728}">
  <dimension ref="A1"/>
  <sheetViews>
    <sheetView workbookViewId="0">
      <selection activeCell="L4" sqref="L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GIN TONIC</vt:lpstr>
      <vt:lpstr>Bosque Nativo -Peñon</vt:lpstr>
      <vt:lpstr>Planificación Insumos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Brea, Nicolas Martin</dc:creator>
  <cp:lastModifiedBy>ggime</cp:lastModifiedBy>
  <dcterms:created xsi:type="dcterms:W3CDTF">2022-08-30T19:18:16Z</dcterms:created>
  <dcterms:modified xsi:type="dcterms:W3CDTF">2022-11-01T18:31:46Z</dcterms:modified>
</cp:coreProperties>
</file>