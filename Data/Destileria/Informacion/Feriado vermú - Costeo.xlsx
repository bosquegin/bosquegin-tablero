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plyDestileria\Documents\Bosque\Recetas\Informacion\"/>
    </mc:Choice>
  </mc:AlternateContent>
  <xr:revisionPtr revIDLastSave="0" documentId="8_{7F683895-5969-4349-B5CD-0C20FA6ACCF4}" xr6:coauthVersionLast="47" xr6:coauthVersionMax="47" xr10:uidLastSave="{00000000-0000-0000-0000-000000000000}"/>
  <bookViews>
    <workbookView xWindow="-120" yWindow="-120" windowWidth="20730" windowHeight="11040" xr2:uid="{69DF137D-1DC5-47C7-9951-322C5B0AAB2F}"/>
  </bookViews>
  <sheets>
    <sheet name="Feriado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9" i="1" l="1"/>
  <c r="E41" i="1" s="1"/>
  <c r="D5" i="1" s="1"/>
  <c r="F31" i="1"/>
  <c r="G31" i="1" s="1"/>
  <c r="F30" i="1"/>
  <c r="G30" i="1" s="1"/>
  <c r="F29" i="1"/>
  <c r="G29" i="1" s="1"/>
  <c r="F27" i="1"/>
  <c r="G27" i="1" s="1"/>
  <c r="F26" i="1"/>
  <c r="G26" i="1" s="1"/>
  <c r="F25" i="1"/>
  <c r="G25" i="1" s="1"/>
  <c r="F24" i="1"/>
  <c r="G24" i="1" s="1"/>
  <c r="D23" i="1"/>
  <c r="G21" i="1"/>
  <c r="F21" i="1"/>
  <c r="B21" i="1"/>
  <c r="F20" i="1"/>
  <c r="D20" i="1"/>
  <c r="B20" i="1"/>
  <c r="F19" i="1"/>
  <c r="G19" i="1" s="1"/>
  <c r="B19" i="1"/>
  <c r="H19" i="1" s="1"/>
  <c r="I19" i="1" s="1"/>
  <c r="D18" i="1"/>
  <c r="B18" i="1"/>
  <c r="D17" i="1"/>
  <c r="B17" i="1"/>
  <c r="H17" i="1" s="1"/>
  <c r="I17" i="1" s="1"/>
  <c r="D16" i="1"/>
  <c r="B16" i="1"/>
  <c r="H16" i="1" s="1"/>
  <c r="I16" i="1" s="1"/>
  <c r="D15" i="1"/>
  <c r="F15" i="1" s="1"/>
  <c r="B15" i="1"/>
  <c r="D14" i="1"/>
  <c r="B14" i="1"/>
  <c r="H14" i="1" s="1"/>
  <c r="I14" i="1" s="1"/>
  <c r="D13" i="1"/>
  <c r="B13" i="1"/>
  <c r="D12" i="1"/>
  <c r="B12" i="1"/>
  <c r="F11" i="1"/>
  <c r="G11" i="1" s="1"/>
  <c r="B11" i="1"/>
  <c r="H11" i="1" s="1"/>
  <c r="I11" i="1" s="1"/>
  <c r="F10" i="1"/>
  <c r="G10" i="1" s="1"/>
  <c r="B10" i="1"/>
  <c r="H10" i="1" s="1"/>
  <c r="C8" i="1"/>
  <c r="B26" i="1" s="1"/>
  <c r="H13" i="1" l="1"/>
  <c r="I13" i="1" s="1"/>
  <c r="N21" i="1"/>
  <c r="L21" i="1" s="1"/>
  <c r="F13" i="1"/>
  <c r="G13" i="1" s="1"/>
  <c r="F16" i="1"/>
  <c r="G16" i="1" s="1"/>
  <c r="H21" i="1"/>
  <c r="I21" i="1" s="1"/>
  <c r="H12" i="1"/>
  <c r="I12" i="1" s="1"/>
  <c r="G15" i="1"/>
  <c r="N20" i="1"/>
  <c r="L20" i="1" s="1"/>
  <c r="N15" i="1"/>
  <c r="L15" i="1" s="1"/>
  <c r="G20" i="1"/>
  <c r="H26" i="1"/>
  <c r="I26" i="1" s="1"/>
  <c r="N26" i="1"/>
  <c r="I10" i="1"/>
  <c r="N13" i="1"/>
  <c r="B29" i="1"/>
  <c r="B31" i="1"/>
  <c r="F18" i="1"/>
  <c r="G18" i="1" s="1"/>
  <c r="N18" i="1"/>
  <c r="B23" i="1"/>
  <c r="H23" i="1" s="1"/>
  <c r="F12" i="1"/>
  <c r="G12" i="1" s="1"/>
  <c r="N12" i="1"/>
  <c r="H18" i="1"/>
  <c r="I18" i="1" s="1"/>
  <c r="B25" i="1"/>
  <c r="B27" i="1"/>
  <c r="H15" i="1"/>
  <c r="I15" i="1" s="1"/>
  <c r="F17" i="1"/>
  <c r="G17" i="1" s="1"/>
  <c r="N17" i="1"/>
  <c r="H20" i="1"/>
  <c r="I20" i="1" s="1"/>
  <c r="F23" i="1"/>
  <c r="G23" i="1" s="1"/>
  <c r="B30" i="1"/>
  <c r="F14" i="1"/>
  <c r="G14" i="1" s="1"/>
  <c r="N14" i="1"/>
  <c r="N19" i="1"/>
  <c r="N11" i="1"/>
  <c r="N10" i="1"/>
  <c r="N16" i="1"/>
  <c r="B24" i="1"/>
  <c r="O21" i="1" l="1"/>
  <c r="O20" i="1"/>
  <c r="H22" i="1"/>
  <c r="O15" i="1"/>
  <c r="I22" i="1"/>
  <c r="O11" i="1"/>
  <c r="L11" i="1"/>
  <c r="L17" i="1"/>
  <c r="O17" i="1"/>
  <c r="J20" i="1"/>
  <c r="K20" i="1" s="1"/>
  <c r="M20" i="1"/>
  <c r="I23" i="1"/>
  <c r="L18" i="1"/>
  <c r="O18" i="1"/>
  <c r="H31" i="1"/>
  <c r="I31" i="1" s="1"/>
  <c r="N31" i="1"/>
  <c r="H30" i="1"/>
  <c r="I30" i="1" s="1"/>
  <c r="N30" i="1"/>
  <c r="H25" i="1"/>
  <c r="I25" i="1" s="1"/>
  <c r="N25" i="1"/>
  <c r="H29" i="1"/>
  <c r="N29" i="1"/>
  <c r="O19" i="1"/>
  <c r="L19" i="1"/>
  <c r="H27" i="1"/>
  <c r="I27" i="1" s="1"/>
  <c r="N27" i="1"/>
  <c r="H24" i="1"/>
  <c r="I24" i="1" s="1"/>
  <c r="N24" i="1"/>
  <c r="N23" i="1"/>
  <c r="L13" i="1"/>
  <c r="O13" i="1"/>
  <c r="J21" i="1"/>
  <c r="K21" i="1" s="1"/>
  <c r="M21" i="1"/>
  <c r="J15" i="1"/>
  <c r="K15" i="1" s="1"/>
  <c r="M15" i="1"/>
  <c r="L16" i="1"/>
  <c r="O16" i="1"/>
  <c r="O12" i="1"/>
  <c r="L12" i="1"/>
  <c r="O14" i="1"/>
  <c r="L14" i="1"/>
  <c r="N22" i="1"/>
  <c r="O10" i="1"/>
  <c r="L10" i="1"/>
  <c r="L26" i="1"/>
  <c r="O26" i="1"/>
  <c r="O22" i="1" l="1"/>
  <c r="M19" i="1"/>
  <c r="J19" i="1"/>
  <c r="K19" i="1" s="1"/>
  <c r="M13" i="1"/>
  <c r="J13" i="1"/>
  <c r="K13" i="1" s="1"/>
  <c r="L31" i="1"/>
  <c r="O31" i="1"/>
  <c r="M14" i="1"/>
  <c r="J14" i="1"/>
  <c r="K14" i="1" s="1"/>
  <c r="M16" i="1"/>
  <c r="J16" i="1"/>
  <c r="K16" i="1" s="1"/>
  <c r="N28" i="1"/>
  <c r="O23" i="1"/>
  <c r="L23" i="1"/>
  <c r="L29" i="1"/>
  <c r="N32" i="1"/>
  <c r="O29" i="1"/>
  <c r="L24" i="1"/>
  <c r="O24" i="1"/>
  <c r="H32" i="1"/>
  <c r="I29" i="1"/>
  <c r="I32" i="1" s="1"/>
  <c r="I33" i="1" s="1"/>
  <c r="M17" i="1"/>
  <c r="J17" i="1"/>
  <c r="K17" i="1" s="1"/>
  <c r="O25" i="1"/>
  <c r="L25" i="1"/>
  <c r="J18" i="1"/>
  <c r="K18" i="1" s="1"/>
  <c r="M18" i="1"/>
  <c r="M26" i="1"/>
  <c r="J26" i="1"/>
  <c r="K26" i="1" s="1"/>
  <c r="J12" i="1"/>
  <c r="K12" i="1" s="1"/>
  <c r="M12" i="1"/>
  <c r="O27" i="1"/>
  <c r="L27" i="1"/>
  <c r="I28" i="1"/>
  <c r="M11" i="1"/>
  <c r="J11" i="1"/>
  <c r="K11" i="1" s="1"/>
  <c r="J10" i="1"/>
  <c r="L22" i="1"/>
  <c r="M10" i="1"/>
  <c r="O30" i="1"/>
  <c r="L30" i="1"/>
  <c r="H28" i="1"/>
  <c r="O28" i="1" l="1"/>
  <c r="M22" i="1"/>
  <c r="J31" i="1"/>
  <c r="K31" i="1" s="1"/>
  <c r="M31" i="1"/>
  <c r="M24" i="1"/>
  <c r="J24" i="1"/>
  <c r="K24" i="1" s="1"/>
  <c r="O32" i="1"/>
  <c r="O33" i="1" s="1"/>
  <c r="P28" i="1"/>
  <c r="K10" i="1"/>
  <c r="K22" i="1" s="1"/>
  <c r="J22" i="1"/>
  <c r="M27" i="1"/>
  <c r="J27" i="1"/>
  <c r="K27" i="1" s="1"/>
  <c r="N33" i="1"/>
  <c r="J29" i="1"/>
  <c r="L32" i="1"/>
  <c r="L33" i="1" s="1"/>
  <c r="M29" i="1"/>
  <c r="M32" i="1" s="1"/>
  <c r="M25" i="1"/>
  <c r="J25" i="1"/>
  <c r="K25" i="1" s="1"/>
  <c r="M30" i="1"/>
  <c r="J30" i="1"/>
  <c r="K30" i="1" s="1"/>
  <c r="H33" i="1"/>
  <c r="L28" i="1"/>
  <c r="M23" i="1"/>
  <c r="J23" i="1"/>
  <c r="M28" i="1" l="1"/>
  <c r="J32" i="1"/>
  <c r="K29" i="1"/>
  <c r="K32" i="1" s="1"/>
  <c r="J28" i="1"/>
  <c r="K23" i="1"/>
  <c r="K28" i="1" s="1"/>
  <c r="M33" i="1"/>
  <c r="F5" i="1"/>
  <c r="P15" i="1"/>
  <c r="P20" i="1"/>
  <c r="P21" i="1"/>
  <c r="P13" i="1"/>
  <c r="P11" i="1"/>
  <c r="P14" i="1"/>
  <c r="P26" i="1"/>
  <c r="P19" i="1"/>
  <c r="P17" i="1"/>
  <c r="P18" i="1"/>
  <c r="P10" i="1"/>
  <c r="P16" i="1"/>
  <c r="P12" i="1"/>
  <c r="P22" i="1"/>
  <c r="P31" i="1"/>
  <c r="P29" i="1"/>
  <c r="P25" i="1"/>
  <c r="P24" i="1"/>
  <c r="P23" i="1"/>
  <c r="P27" i="1"/>
  <c r="P30" i="1"/>
  <c r="P32" i="1"/>
  <c r="P33" i="1" s="1"/>
  <c r="H5" i="1" l="1"/>
  <c r="G5" i="1"/>
  <c r="I5" i="1" s="1"/>
  <c r="K33" i="1"/>
  <c r="J33" i="1"/>
</calcChain>
</file>

<file path=xl/sharedStrings.xml><?xml version="1.0" encoding="utf-8"?>
<sst xmlns="http://schemas.openxmlformats.org/spreadsheetml/2006/main" count="100" uniqueCount="56">
  <si>
    <t>LOTE EN LITROS</t>
  </si>
  <si>
    <t>BOTELLAS</t>
  </si>
  <si>
    <t>COSTOS X UNIDAD INSUMO</t>
  </si>
  <si>
    <t>COSTO X LOTE</t>
  </si>
  <si>
    <t>COSTO X HL</t>
  </si>
  <si>
    <t>COSTO X LITRO</t>
  </si>
  <si>
    <t>COSTO X BOTELLA</t>
  </si>
  <si>
    <t>INCIDENCIA</t>
  </si>
  <si>
    <t>INSUMO</t>
  </si>
  <si>
    <t>CANT X LOTE</t>
  </si>
  <si>
    <t>UNIDAD</t>
  </si>
  <si>
    <t>PRECIO SIN IMPUESTOS</t>
  </si>
  <si>
    <t>IIBB</t>
  </si>
  <si>
    <t>IVA</t>
  </si>
  <si>
    <t>TOTAL</t>
  </si>
  <si>
    <t>PRECIO SIN IVA</t>
  </si>
  <si>
    <t>%</t>
  </si>
  <si>
    <t>ALCOHOL TRIPLE DESTILADO DE MAIZ</t>
  </si>
  <si>
    <t>LTS</t>
  </si>
  <si>
    <t>AGUA DE ÓSMOSIS</t>
  </si>
  <si>
    <t>VINO MALBEC</t>
  </si>
  <si>
    <t>VINO CHARDONAY</t>
  </si>
  <si>
    <t xml:space="preserve">VINO TORRONTÉS </t>
  </si>
  <si>
    <t>AZÚCAR INVERTIDA</t>
  </si>
  <si>
    <t>KG</t>
  </si>
  <si>
    <t>AJENJO</t>
  </si>
  <si>
    <t>QUINA</t>
  </si>
  <si>
    <t>CANELA</t>
  </si>
  <si>
    <t>CARDAMOMO</t>
  </si>
  <si>
    <t>JENJIBRE FRESCO</t>
  </si>
  <si>
    <t>ACEITE DE POMELO</t>
  </si>
  <si>
    <t/>
  </si>
  <si>
    <t xml:space="preserve">CAPUCHON </t>
  </si>
  <si>
    <t>TAPONES</t>
  </si>
  <si>
    <t>ETIQUETAS FRENTE</t>
  </si>
  <si>
    <t>CAJAS</t>
  </si>
  <si>
    <t>PALLET</t>
  </si>
  <si>
    <t>ESQUINERO</t>
  </si>
  <si>
    <t>FILM STRETCH</t>
  </si>
  <si>
    <t>COSTOS DE PRODUCCION</t>
  </si>
  <si>
    <t>RESUMEN</t>
  </si>
  <si>
    <t>COSTO POR BOTELLA</t>
  </si>
  <si>
    <t>ADICIONAL X BOTELLA</t>
  </si>
  <si>
    <t>FASONADO</t>
  </si>
  <si>
    <t>OPERARIOS</t>
  </si>
  <si>
    <t>SERVICIOS</t>
  </si>
  <si>
    <t>AGOSTO</t>
  </si>
  <si>
    <t>COSTO PRODUCCIÓN Y FINANCIERO</t>
  </si>
  <si>
    <t>RENTABILIDAD</t>
  </si>
  <si>
    <t>COSTO DE INSUMOS</t>
  </si>
  <si>
    <t>IMP INT</t>
  </si>
  <si>
    <t>PRECIO</t>
  </si>
  <si>
    <t>FINAL</t>
  </si>
  <si>
    <t>SUBTOTAL MATERIA PRIMA</t>
  </si>
  <si>
    <t>SUBTOTAL ACONDICIONAMIENTO</t>
  </si>
  <si>
    <t>SUBTOTAL ESTIBA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</si>
</sst>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0.0000"/>
    <numFmt numFmtId="165" formatCode="0.0"/>
  </numFmts>
  <fonts count="4" x14ac:knownFonts="1"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</cellStyleXfs>
  <cellXfs count="74">
    <xf numFmtId="0" fontId="0" fillId="0" borderId="0" xfId="0"/>
    <xf numFmtId="0" fontId="0" fillId="2" borderId="1" xfId="0" applyFill="1" applyBorder="1" applyAlignment="1">
      <alignment horizontal="center"/>
    </xf>
    <xf numFmtId="3" fontId="0" fillId="2" borderId="2" xfId="0" applyNumberFormat="1" applyFill="1" applyBorder="1" applyAlignment="1">
      <alignment horizontal="center"/>
    </xf>
    <xf numFmtId="3" fontId="0" fillId="2" borderId="3" xfId="0" applyNumberFormat="1" applyFill="1" applyBorder="1" applyAlignment="1">
      <alignment horizontal="center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2" fillId="0" borderId="7" xfId="0" applyFont="1" applyBorder="1" applyAlignment="1">
      <alignment horizontal="left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44" fontId="0" fillId="0" borderId="10" xfId="1" applyFont="1" applyFill="1" applyBorder="1" applyAlignment="1">
      <alignment horizontal="left"/>
    </xf>
    <xf numFmtId="44" fontId="0" fillId="0" borderId="7" xfId="1" applyFont="1" applyBorder="1" applyAlignment="1">
      <alignment horizontal="left"/>
    </xf>
    <xf numFmtId="44" fontId="0" fillId="0" borderId="11" xfId="1" applyFont="1" applyBorder="1" applyAlignment="1">
      <alignment horizontal="left"/>
    </xf>
    <xf numFmtId="44" fontId="0" fillId="0" borderId="10" xfId="1" applyFont="1" applyBorder="1" applyAlignment="1">
      <alignment horizontal="left"/>
    </xf>
    <xf numFmtId="10" fontId="0" fillId="0" borderId="11" xfId="2" applyNumberFormat="1" applyFont="1" applyBorder="1" applyAlignment="1">
      <alignment horizontal="center"/>
    </xf>
    <xf numFmtId="0" fontId="2" fillId="0" borderId="12" xfId="0" applyFont="1" applyBorder="1" applyAlignment="1">
      <alignment horizontal="left"/>
    </xf>
    <xf numFmtId="0" fontId="0" fillId="0" borderId="13" xfId="0" applyBorder="1" applyAlignment="1">
      <alignment horizontal="center"/>
    </xf>
    <xf numFmtId="44" fontId="2" fillId="0" borderId="14" xfId="1" applyFont="1" applyFill="1" applyBorder="1" applyAlignment="1">
      <alignment horizontal="center"/>
    </xf>
    <xf numFmtId="44" fontId="0" fillId="0" borderId="12" xfId="1" applyFont="1" applyBorder="1" applyAlignment="1">
      <alignment horizontal="left"/>
    </xf>
    <xf numFmtId="44" fontId="0" fillId="0" borderId="15" xfId="1" applyFont="1" applyBorder="1" applyAlignment="1">
      <alignment horizontal="left"/>
    </xf>
    <xf numFmtId="44" fontId="0" fillId="0" borderId="14" xfId="1" applyFont="1" applyBorder="1" applyAlignment="1">
      <alignment horizontal="left"/>
    </xf>
    <xf numFmtId="164" fontId="0" fillId="0" borderId="9" xfId="0" applyNumberFormat="1" applyBorder="1" applyAlignment="1">
      <alignment horizontal="center"/>
    </xf>
    <xf numFmtId="44" fontId="0" fillId="0" borderId="14" xfId="1" applyFont="1" applyFill="1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center"/>
    </xf>
    <xf numFmtId="44" fontId="0" fillId="0" borderId="16" xfId="1" applyFont="1" applyBorder="1" applyAlignment="1">
      <alignment horizontal="left"/>
    </xf>
    <xf numFmtId="44" fontId="0" fillId="0" borderId="18" xfId="1" applyFont="1" applyBorder="1" applyAlignment="1">
      <alignment horizontal="left"/>
    </xf>
    <xf numFmtId="44" fontId="0" fillId="0" borderId="19" xfId="1" applyFont="1" applyBorder="1" applyAlignment="1">
      <alignment horizontal="left"/>
    </xf>
    <xf numFmtId="44" fontId="0" fillId="2" borderId="2" xfId="0" applyNumberFormat="1" applyFill="1" applyBorder="1"/>
    <xf numFmtId="44" fontId="0" fillId="2" borderId="1" xfId="0" applyNumberFormat="1" applyFill="1" applyBorder="1"/>
    <xf numFmtId="44" fontId="0" fillId="2" borderId="4" xfId="1" applyFont="1" applyFill="1" applyBorder="1" applyAlignment="1">
      <alignment horizontal="left"/>
    </xf>
    <xf numFmtId="10" fontId="0" fillId="2" borderId="4" xfId="2" applyNumberFormat="1" applyFont="1" applyFill="1" applyBorder="1" applyAlignment="1">
      <alignment horizontal="center"/>
    </xf>
    <xf numFmtId="0" fontId="0" fillId="0" borderId="7" xfId="0" applyBorder="1" applyAlignment="1">
      <alignment horizontal="left"/>
    </xf>
    <xf numFmtId="1" fontId="0" fillId="0" borderId="12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0" fontId="0" fillId="0" borderId="12" xfId="0" applyBorder="1" applyAlignment="1">
      <alignment horizontal="left"/>
    </xf>
    <xf numFmtId="165" fontId="0" fillId="0" borderId="12" xfId="0" applyNumberFormat="1" applyBorder="1" applyAlignment="1">
      <alignment horizontal="center"/>
    </xf>
    <xf numFmtId="44" fontId="0" fillId="2" borderId="21" xfId="1" applyFont="1" applyFill="1" applyBorder="1" applyAlignment="1">
      <alignment horizontal="left"/>
    </xf>
    <xf numFmtId="0" fontId="0" fillId="3" borderId="2" xfId="0" applyFill="1" applyBorder="1"/>
    <xf numFmtId="0" fontId="0" fillId="3" borderId="3" xfId="0" applyFill="1" applyBorder="1"/>
    <xf numFmtId="44" fontId="0" fillId="4" borderId="4" xfId="1" applyFont="1" applyFill="1" applyBorder="1" applyAlignment="1">
      <alignment horizontal="left"/>
    </xf>
    <xf numFmtId="9" fontId="0" fillId="4" borderId="4" xfId="2" applyFont="1" applyFill="1" applyBorder="1" applyAlignment="1">
      <alignment horizontal="center"/>
    </xf>
    <xf numFmtId="0" fontId="0" fillId="0" borderId="0" xfId="0" applyAlignment="1">
      <alignment horizontal="center"/>
    </xf>
    <xf numFmtId="44" fontId="0" fillId="0" borderId="0" xfId="0" applyNumberFormat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22" xfId="0" applyBorder="1" applyAlignment="1">
      <alignment horizontal="left"/>
    </xf>
    <xf numFmtId="44" fontId="0" fillId="0" borderId="23" xfId="1" applyFont="1" applyBorder="1" applyAlignment="1">
      <alignment horizontal="center"/>
    </xf>
    <xf numFmtId="0" fontId="0" fillId="0" borderId="14" xfId="0" applyBorder="1" applyAlignment="1">
      <alignment horizontal="left"/>
    </xf>
    <xf numFmtId="44" fontId="0" fillId="0" borderId="15" xfId="1" applyFont="1" applyBorder="1" applyAlignment="1">
      <alignment horizontal="center"/>
    </xf>
    <xf numFmtId="0" fontId="0" fillId="0" borderId="19" xfId="0" applyBorder="1" applyAlignment="1">
      <alignment horizontal="left"/>
    </xf>
    <xf numFmtId="44" fontId="0" fillId="0" borderId="18" xfId="1" applyFont="1" applyBorder="1" applyAlignment="1">
      <alignment horizontal="center"/>
    </xf>
    <xf numFmtId="0" fontId="0" fillId="2" borderId="6" xfId="0" applyFill="1" applyBorder="1" applyAlignment="1">
      <alignment horizontal="left"/>
    </xf>
    <xf numFmtId="44" fontId="0" fillId="2" borderId="4" xfId="1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10" xfId="0" applyBorder="1" applyAlignment="1">
      <alignment horizontal="center"/>
    </xf>
    <xf numFmtId="9" fontId="0" fillId="0" borderId="7" xfId="2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44" fontId="1" fillId="0" borderId="24" xfId="1" applyFont="1" applyBorder="1" applyAlignment="1">
      <alignment horizontal="center"/>
    </xf>
    <xf numFmtId="44" fontId="1" fillId="0" borderId="25" xfId="1" applyFont="1" applyBorder="1" applyAlignment="1">
      <alignment horizontal="center"/>
    </xf>
    <xf numFmtId="44" fontId="1" fillId="0" borderId="26" xfId="1" applyFont="1" applyBorder="1" applyAlignment="1">
      <alignment horizontal="center"/>
    </xf>
    <xf numFmtId="0" fontId="0" fillId="2" borderId="20" xfId="0" applyFill="1" applyBorder="1" applyAlignment="1">
      <alignment horizontal="left"/>
    </xf>
    <xf numFmtId="0" fontId="0" fillId="4" borderId="20" xfId="0" applyFill="1" applyBorder="1" applyAlignment="1">
      <alignment horizontal="left"/>
    </xf>
    <xf numFmtId="0" fontId="0" fillId="2" borderId="5" xfId="0" applyFill="1" applyBorder="1" applyAlignment="1">
      <alignment horizontal="center"/>
    </xf>
    <xf numFmtId="0" fontId="0" fillId="3" borderId="2" xfId="0" applyFill="1" applyBorder="1" applyAlignment="1"/>
    <xf numFmtId="0" fontId="0" fillId="3" borderId="3" xfId="0" applyFill="1" applyBorder="1" applyAlignment="1"/>
    <xf numFmtId="0" fontId="0" fillId="2" borderId="21" xfId="0" applyFill="1" applyBorder="1" applyAlignment="1">
      <alignment horizontal="center"/>
    </xf>
  </cellXfs>
  <cellStyles count="4">
    <cellStyle name="Moneda" xfId="1" builtinId="4"/>
    <cellStyle name="Normal" xfId="0" builtinId="0"/>
    <cellStyle name="Normal 3" xfId="3" xr:uid="{0B093A60-6B45-467E-8B90-0FC8CFD32FF4}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9E5C3-B0FD-44EF-9CBB-9A8DC83BEF52}">
  <dimension ref="A1:P41"/>
  <sheetViews>
    <sheetView tabSelected="1" topLeftCell="A7" workbookViewId="0">
      <selection activeCell="C8" sqref="C8"/>
    </sheetView>
  </sheetViews>
  <sheetFormatPr baseColWidth="10" defaultRowHeight="12" x14ac:dyDescent="0.2"/>
  <cols>
    <col min="1" max="1" width="33.83203125" bestFit="1" customWidth="1"/>
    <col min="2" max="2" width="11.83203125" bestFit="1" customWidth="1"/>
    <col min="3" max="3" width="8.33203125" bestFit="1" customWidth="1"/>
    <col min="4" max="4" width="20.1640625" bestFit="1" customWidth="1"/>
    <col min="5" max="5" width="11.5" bestFit="1" customWidth="1"/>
    <col min="6" max="6" width="11" bestFit="1" customWidth="1"/>
    <col min="8" max="9" width="14.5" bestFit="1" customWidth="1"/>
    <col min="12" max="12" width="10.83203125" bestFit="1" customWidth="1"/>
    <col min="13" max="13" width="9.5" bestFit="1" customWidth="1"/>
    <col min="14" max="14" width="10.83203125" bestFit="1" customWidth="1"/>
    <col min="15" max="15" width="9.5" bestFit="1" customWidth="1"/>
    <col min="16" max="16" width="11.33203125" bestFit="1" customWidth="1"/>
  </cols>
  <sheetData>
    <row r="1" spans="1:16" ht="12.75" thickBot="1" x14ac:dyDescent="0.25"/>
    <row r="2" spans="1:16" ht="12.75" thickBot="1" x14ac:dyDescent="0.25">
      <c r="D2" s="58" t="s">
        <v>46</v>
      </c>
      <c r="E2" s="59"/>
      <c r="F2" s="59"/>
      <c r="G2" s="59"/>
      <c r="H2" s="59"/>
      <c r="I2" s="60"/>
    </row>
    <row r="3" spans="1:16" ht="24.75" thickBot="1" x14ac:dyDescent="0.25">
      <c r="D3" s="7" t="s">
        <v>47</v>
      </c>
      <c r="E3" s="5" t="s">
        <v>48</v>
      </c>
      <c r="F3" s="5" t="s">
        <v>49</v>
      </c>
      <c r="G3" s="5" t="s">
        <v>13</v>
      </c>
      <c r="H3" s="5" t="s">
        <v>50</v>
      </c>
      <c r="I3" s="4" t="s">
        <v>51</v>
      </c>
    </row>
    <row r="4" spans="1:16" x14ac:dyDescent="0.2">
      <c r="D4" s="61" t="s">
        <v>31</v>
      </c>
      <c r="E4" s="62">
        <v>0.2</v>
      </c>
      <c r="F4" s="63" t="s">
        <v>31</v>
      </c>
      <c r="G4" s="62">
        <v>0.21</v>
      </c>
      <c r="H4" s="63">
        <v>0.3513</v>
      </c>
      <c r="I4" s="64" t="s">
        <v>52</v>
      </c>
    </row>
    <row r="5" spans="1:16" ht="12.75" thickBot="1" x14ac:dyDescent="0.25">
      <c r="D5" s="65">
        <f>+E41</f>
        <v>125.24</v>
      </c>
      <c r="E5" s="66"/>
      <c r="F5" s="66">
        <f>+N33</f>
        <v>291.98916033850003</v>
      </c>
      <c r="G5" s="66">
        <f>SUM(D5:F5)*G4</f>
        <v>87.618123671085002</v>
      </c>
      <c r="H5" s="66">
        <f>SUM(D5:F5)*H4</f>
        <v>146.57260402691506</v>
      </c>
      <c r="I5" s="67">
        <f>SUM(D5:H5)</f>
        <v>651.41988803650008</v>
      </c>
    </row>
    <row r="6" spans="1:16" ht="12.75" thickBot="1" x14ac:dyDescent="0.25"/>
    <row r="7" spans="1:16" ht="12.75" thickBot="1" x14ac:dyDescent="0.25">
      <c r="A7" s="73" t="s">
        <v>0</v>
      </c>
    </row>
    <row r="8" spans="1:16" ht="12.75" thickBot="1" x14ac:dyDescent="0.25">
      <c r="A8" s="2">
        <v>8000</v>
      </c>
      <c r="B8" s="1" t="s">
        <v>1</v>
      </c>
      <c r="C8" s="3">
        <f>+A8/0.75</f>
        <v>10666.666666666666</v>
      </c>
      <c r="D8" s="45" t="s">
        <v>2</v>
      </c>
      <c r="E8" s="70"/>
      <c r="F8" s="70"/>
      <c r="G8" s="46"/>
      <c r="H8" s="45" t="s">
        <v>3</v>
      </c>
      <c r="I8" s="46"/>
      <c r="J8" s="45" t="s">
        <v>4</v>
      </c>
      <c r="K8" s="46"/>
      <c r="L8" s="45" t="s">
        <v>5</v>
      </c>
      <c r="M8" s="46"/>
      <c r="N8" s="45" t="s">
        <v>6</v>
      </c>
      <c r="O8" s="46"/>
      <c r="P8" s="4" t="s">
        <v>7</v>
      </c>
    </row>
    <row r="9" spans="1:16" ht="24.75" thickBot="1" x14ac:dyDescent="0.25">
      <c r="A9" s="5" t="s">
        <v>8</v>
      </c>
      <c r="B9" s="5" t="s">
        <v>9</v>
      </c>
      <c r="C9" s="6" t="s">
        <v>10</v>
      </c>
      <c r="D9" s="7" t="s">
        <v>11</v>
      </c>
      <c r="E9" s="5" t="s">
        <v>12</v>
      </c>
      <c r="F9" s="5" t="s">
        <v>13</v>
      </c>
      <c r="G9" s="4" t="s">
        <v>14</v>
      </c>
      <c r="H9" s="7" t="s">
        <v>15</v>
      </c>
      <c r="I9" s="4" t="s">
        <v>14</v>
      </c>
      <c r="J9" s="7" t="s">
        <v>15</v>
      </c>
      <c r="K9" s="4" t="s">
        <v>14</v>
      </c>
      <c r="L9" s="7" t="s">
        <v>15</v>
      </c>
      <c r="M9" s="4" t="s">
        <v>14</v>
      </c>
      <c r="N9" s="7" t="s">
        <v>15</v>
      </c>
      <c r="O9" s="4" t="s">
        <v>14</v>
      </c>
      <c r="P9" s="4" t="s">
        <v>16</v>
      </c>
    </row>
    <row r="10" spans="1:16" x14ac:dyDescent="0.2">
      <c r="A10" s="8" t="s">
        <v>17</v>
      </c>
      <c r="B10" s="9">
        <f>0.03*A8</f>
        <v>240</v>
      </c>
      <c r="C10" s="10" t="s">
        <v>18</v>
      </c>
      <c r="D10" s="11">
        <v>149</v>
      </c>
      <c r="E10" s="12">
        <v>0</v>
      </c>
      <c r="F10" s="12">
        <f t="shared" ref="F10:F21" si="0">+D10*21%</f>
        <v>31.29</v>
      </c>
      <c r="G10" s="13">
        <f t="shared" ref="G10:G21" si="1">SUM(D10:F10)</f>
        <v>180.29</v>
      </c>
      <c r="H10" s="14">
        <f t="shared" ref="H10:H20" si="2">+B10*(D10+E10)</f>
        <v>35760</v>
      </c>
      <c r="I10" s="13">
        <f t="shared" ref="I10:I21" si="3">+H10*21%+H10</f>
        <v>43269.599999999999</v>
      </c>
      <c r="J10" s="14">
        <f>+L10*100</f>
        <v>447</v>
      </c>
      <c r="K10" s="13">
        <f t="shared" ref="K10:K21" si="4">+J10*21%+J10</f>
        <v>540.87</v>
      </c>
      <c r="L10" s="14">
        <f>+N10/3*4</f>
        <v>4.47</v>
      </c>
      <c r="M10" s="13">
        <f t="shared" ref="M10:M21" si="5">+L10*21%+L10</f>
        <v>5.4086999999999996</v>
      </c>
      <c r="N10" s="14">
        <f>(D10+E10)*$B10/$C$8</f>
        <v>3.3525</v>
      </c>
      <c r="O10" s="13">
        <f t="shared" ref="O10:O21" si="6">+N10*21%+N10</f>
        <v>4.0565249999999997</v>
      </c>
      <c r="P10" s="15">
        <f t="shared" ref="P10:P32" si="7">+N10/$N$33</f>
        <v>1.1481590604642588E-2</v>
      </c>
    </row>
    <row r="11" spans="1:16" x14ac:dyDescent="0.2">
      <c r="A11" s="16" t="s">
        <v>19</v>
      </c>
      <c r="B11" s="10">
        <f>0.03*A8</f>
        <v>240</v>
      </c>
      <c r="C11" s="17" t="s">
        <v>18</v>
      </c>
      <c r="D11" s="18">
        <v>0</v>
      </c>
      <c r="E11" s="19">
        <v>0</v>
      </c>
      <c r="F11" s="19">
        <f t="shared" si="0"/>
        <v>0</v>
      </c>
      <c r="G11" s="20">
        <f t="shared" si="1"/>
        <v>0</v>
      </c>
      <c r="H11" s="21">
        <f t="shared" si="2"/>
        <v>0</v>
      </c>
      <c r="I11" s="20">
        <f t="shared" si="3"/>
        <v>0</v>
      </c>
      <c r="J11" s="14">
        <f t="shared" ref="J11:J21" si="8">+L11*100</f>
        <v>0</v>
      </c>
      <c r="K11" s="20">
        <f t="shared" si="4"/>
        <v>0</v>
      </c>
      <c r="L11" s="14">
        <f t="shared" ref="L11:L31" si="9">+N11/3*4</f>
        <v>0</v>
      </c>
      <c r="M11" s="20">
        <f t="shared" si="5"/>
        <v>0</v>
      </c>
      <c r="N11" s="14">
        <f t="shared" ref="N11:N21" si="10">(D11+E11)*$B11/$C$8</f>
        <v>0</v>
      </c>
      <c r="O11" s="20">
        <f t="shared" si="6"/>
        <v>0</v>
      </c>
      <c r="P11" s="15">
        <f t="shared" si="7"/>
        <v>0</v>
      </c>
    </row>
    <row r="12" spans="1:16" x14ac:dyDescent="0.2">
      <c r="A12" s="16" t="s">
        <v>20</v>
      </c>
      <c r="B12" s="10">
        <f>0.6*A8</f>
        <v>4800</v>
      </c>
      <c r="C12" s="17" t="s">
        <v>18</v>
      </c>
      <c r="D12" s="18">
        <f>180*21.29%+180</f>
        <v>218.322</v>
      </c>
      <c r="E12" s="19">
        <v>0</v>
      </c>
      <c r="F12" s="19">
        <f t="shared" si="0"/>
        <v>45.847619999999999</v>
      </c>
      <c r="G12" s="20">
        <f t="shared" si="1"/>
        <v>264.16962000000001</v>
      </c>
      <c r="H12" s="21">
        <f>+B12*(D12+E12)</f>
        <v>1047945.6</v>
      </c>
      <c r="I12" s="20">
        <f t="shared" si="3"/>
        <v>1268014.176</v>
      </c>
      <c r="J12" s="14">
        <f t="shared" si="8"/>
        <v>13099.32</v>
      </c>
      <c r="K12" s="20">
        <f t="shared" si="4"/>
        <v>15850.1772</v>
      </c>
      <c r="L12" s="14">
        <f t="shared" si="9"/>
        <v>130.9932</v>
      </c>
      <c r="M12" s="20">
        <f t="shared" si="5"/>
        <v>158.50177200000002</v>
      </c>
      <c r="N12" s="14">
        <f t="shared" si="10"/>
        <v>98.244900000000001</v>
      </c>
      <c r="O12" s="20">
        <f t="shared" si="6"/>
        <v>118.876329</v>
      </c>
      <c r="P12" s="15">
        <f t="shared" si="7"/>
        <v>0.33646762738077574</v>
      </c>
    </row>
    <row r="13" spans="1:16" x14ac:dyDescent="0.2">
      <c r="A13" s="16" t="s">
        <v>21</v>
      </c>
      <c r="B13" s="10">
        <f>0.2*A8</f>
        <v>1600</v>
      </c>
      <c r="C13" s="17" t="s">
        <v>18</v>
      </c>
      <c r="D13" s="18">
        <f>180*21.29%+180</f>
        <v>218.322</v>
      </c>
      <c r="E13" s="19">
        <v>0</v>
      </c>
      <c r="F13" s="19">
        <f t="shared" si="0"/>
        <v>45.847619999999999</v>
      </c>
      <c r="G13" s="20">
        <f t="shared" si="1"/>
        <v>264.16962000000001</v>
      </c>
      <c r="H13" s="21">
        <f t="shared" si="2"/>
        <v>349315.2</v>
      </c>
      <c r="I13" s="20">
        <f t="shared" si="3"/>
        <v>422671.39199999999</v>
      </c>
      <c r="J13" s="14">
        <f t="shared" si="8"/>
        <v>4366.4400000000005</v>
      </c>
      <c r="K13" s="20">
        <f t="shared" si="4"/>
        <v>5283.3924000000006</v>
      </c>
      <c r="L13" s="14">
        <f t="shared" si="9"/>
        <v>43.664400000000001</v>
      </c>
      <c r="M13" s="20">
        <f t="shared" si="5"/>
        <v>52.833923999999996</v>
      </c>
      <c r="N13" s="14">
        <f t="shared" si="10"/>
        <v>32.7483</v>
      </c>
      <c r="O13" s="20">
        <f t="shared" si="6"/>
        <v>39.625443000000004</v>
      </c>
      <c r="P13" s="15">
        <f t="shared" si="7"/>
        <v>0.1121558757935919</v>
      </c>
    </row>
    <row r="14" spans="1:16" x14ac:dyDescent="0.2">
      <c r="A14" s="16" t="s">
        <v>22</v>
      </c>
      <c r="B14" s="10">
        <f>0.2*A8</f>
        <v>1600</v>
      </c>
      <c r="C14" s="17" t="s">
        <v>18</v>
      </c>
      <c r="D14" s="18">
        <f>180*21.29%+180</f>
        <v>218.322</v>
      </c>
      <c r="E14" s="19">
        <v>0</v>
      </c>
      <c r="F14" s="19">
        <f t="shared" si="0"/>
        <v>45.847619999999999</v>
      </c>
      <c r="G14" s="20">
        <f t="shared" si="1"/>
        <v>264.16962000000001</v>
      </c>
      <c r="H14" s="21">
        <f t="shared" si="2"/>
        <v>349315.2</v>
      </c>
      <c r="I14" s="20">
        <f t="shared" si="3"/>
        <v>422671.39199999999</v>
      </c>
      <c r="J14" s="14">
        <f t="shared" si="8"/>
        <v>4366.4400000000005</v>
      </c>
      <c r="K14" s="20">
        <f t="shared" si="4"/>
        <v>5283.3924000000006</v>
      </c>
      <c r="L14" s="14">
        <f t="shared" si="9"/>
        <v>43.664400000000001</v>
      </c>
      <c r="M14" s="20">
        <f t="shared" si="5"/>
        <v>52.833923999999996</v>
      </c>
      <c r="N14" s="14">
        <f t="shared" si="10"/>
        <v>32.7483</v>
      </c>
      <c r="O14" s="20">
        <f t="shared" si="6"/>
        <v>39.625443000000004</v>
      </c>
      <c r="P14" s="15">
        <f t="shared" si="7"/>
        <v>0.1121558757935919</v>
      </c>
    </row>
    <row r="15" spans="1:16" x14ac:dyDescent="0.2">
      <c r="A15" s="16" t="s">
        <v>23</v>
      </c>
      <c r="B15" s="10">
        <f>0.15*A8</f>
        <v>1200</v>
      </c>
      <c r="C15" s="17" t="s">
        <v>24</v>
      </c>
      <c r="D15" s="18">
        <f>150*21.29%+150</f>
        <v>181.935</v>
      </c>
      <c r="E15" s="19">
        <v>0</v>
      </c>
      <c r="F15" s="19">
        <f t="shared" si="0"/>
        <v>38.20635</v>
      </c>
      <c r="G15" s="20">
        <f t="shared" si="1"/>
        <v>220.14134999999999</v>
      </c>
      <c r="H15" s="21">
        <f t="shared" si="2"/>
        <v>218322</v>
      </c>
      <c r="I15" s="20">
        <f t="shared" si="3"/>
        <v>264169.62</v>
      </c>
      <c r="J15" s="14">
        <f t="shared" si="8"/>
        <v>2729.0250000000001</v>
      </c>
      <c r="K15" s="20">
        <f t="shared" si="4"/>
        <v>3302.1202499999999</v>
      </c>
      <c r="L15" s="14">
        <f t="shared" si="9"/>
        <v>27.29025</v>
      </c>
      <c r="M15" s="20">
        <f t="shared" si="5"/>
        <v>33.021202500000001</v>
      </c>
      <c r="N15" s="14">
        <f t="shared" si="10"/>
        <v>20.4676875</v>
      </c>
      <c r="O15" s="20">
        <f t="shared" si="6"/>
        <v>24.765901875000001</v>
      </c>
      <c r="P15" s="15">
        <f t="shared" si="7"/>
        <v>7.0097422370994936E-2</v>
      </c>
    </row>
    <row r="16" spans="1:16" x14ac:dyDescent="0.2">
      <c r="A16" s="16" t="s">
        <v>25</v>
      </c>
      <c r="B16" s="22">
        <f>0.00036*A8</f>
        <v>2.8800000000000003</v>
      </c>
      <c r="C16" s="17" t="s">
        <v>24</v>
      </c>
      <c r="D16" s="18">
        <f>65150.4*21%+6515.4</f>
        <v>20196.983999999997</v>
      </c>
      <c r="E16" s="19">
        <v>0</v>
      </c>
      <c r="F16" s="19">
        <f t="shared" si="0"/>
        <v>4241.3666399999993</v>
      </c>
      <c r="G16" s="20">
        <f t="shared" si="1"/>
        <v>24438.350639999997</v>
      </c>
      <c r="H16" s="21">
        <f t="shared" si="2"/>
        <v>58167.313920000001</v>
      </c>
      <c r="I16" s="20">
        <f t="shared" si="3"/>
        <v>70382.449843199996</v>
      </c>
      <c r="J16" s="14">
        <f t="shared" si="8"/>
        <v>727.09142400000007</v>
      </c>
      <c r="K16" s="20">
        <f t="shared" si="4"/>
        <v>879.78062304000014</v>
      </c>
      <c r="L16" s="14">
        <f t="shared" si="9"/>
        <v>7.2709142400000006</v>
      </c>
      <c r="M16" s="20">
        <f t="shared" si="5"/>
        <v>8.7978062304000009</v>
      </c>
      <c r="N16" s="14">
        <f t="shared" si="10"/>
        <v>5.4531856800000007</v>
      </c>
      <c r="O16" s="20">
        <f t="shared" si="6"/>
        <v>6.5983546728000011</v>
      </c>
      <c r="P16" s="15">
        <f t="shared" si="7"/>
        <v>1.8675986717034902E-2</v>
      </c>
    </row>
    <row r="17" spans="1:16" x14ac:dyDescent="0.2">
      <c r="A17" s="16" t="s">
        <v>26</v>
      </c>
      <c r="B17" s="22">
        <f>0.00012*A8</f>
        <v>0.96000000000000008</v>
      </c>
      <c r="C17" s="17" t="s">
        <v>24</v>
      </c>
      <c r="D17" s="18">
        <f>10086.5*21%+10086.5</f>
        <v>12204.665000000001</v>
      </c>
      <c r="E17" s="19">
        <v>0</v>
      </c>
      <c r="F17" s="19">
        <f t="shared" si="0"/>
        <v>2562.9796500000002</v>
      </c>
      <c r="G17" s="20">
        <f t="shared" si="1"/>
        <v>14767.644650000002</v>
      </c>
      <c r="H17" s="21">
        <f t="shared" si="2"/>
        <v>11716.478400000002</v>
      </c>
      <c r="I17" s="20">
        <f t="shared" si="3"/>
        <v>14176.938864000002</v>
      </c>
      <c r="J17" s="14">
        <f t="shared" si="8"/>
        <v>146.45598000000001</v>
      </c>
      <c r="K17" s="20">
        <f t="shared" si="4"/>
        <v>177.21173580000001</v>
      </c>
      <c r="L17" s="14">
        <f t="shared" si="9"/>
        <v>1.4645598000000002</v>
      </c>
      <c r="M17" s="20">
        <f t="shared" si="5"/>
        <v>1.7721173580000003</v>
      </c>
      <c r="N17" s="14">
        <f t="shared" si="10"/>
        <v>1.0984198500000002</v>
      </c>
      <c r="O17" s="20">
        <f t="shared" si="6"/>
        <v>1.3290880185000002</v>
      </c>
      <c r="P17" s="15">
        <f t="shared" si="7"/>
        <v>3.7618514630016176E-3</v>
      </c>
    </row>
    <row r="18" spans="1:16" x14ac:dyDescent="0.2">
      <c r="A18" s="16" t="s">
        <v>27</v>
      </c>
      <c r="B18" s="22">
        <f>0.00012*A8</f>
        <v>0.96000000000000008</v>
      </c>
      <c r="C18" s="17" t="s">
        <v>24</v>
      </c>
      <c r="D18" s="18">
        <f>4505.1*21%+4505.1</f>
        <v>5451.1710000000003</v>
      </c>
      <c r="E18" s="19">
        <v>0</v>
      </c>
      <c r="F18" s="19">
        <f t="shared" si="0"/>
        <v>1144.7459100000001</v>
      </c>
      <c r="G18" s="20">
        <f t="shared" si="1"/>
        <v>6595.9169099999999</v>
      </c>
      <c r="H18" s="21">
        <f t="shared" si="2"/>
        <v>5233.1241600000003</v>
      </c>
      <c r="I18" s="20">
        <f t="shared" si="3"/>
        <v>6332.0802336000006</v>
      </c>
      <c r="J18" s="14">
        <f t="shared" si="8"/>
        <v>65.414051999999998</v>
      </c>
      <c r="K18" s="20">
        <f t="shared" si="4"/>
        <v>79.151002919999996</v>
      </c>
      <c r="L18" s="14">
        <f t="shared" si="9"/>
        <v>0.65414052</v>
      </c>
      <c r="M18" s="20">
        <f t="shared" si="5"/>
        <v>0.79151002920000002</v>
      </c>
      <c r="N18" s="14">
        <f t="shared" si="10"/>
        <v>0.49060539000000003</v>
      </c>
      <c r="O18" s="20">
        <f t="shared" si="6"/>
        <v>0.59363252190000004</v>
      </c>
      <c r="P18" s="15">
        <f t="shared" si="7"/>
        <v>1.680217818467118E-3</v>
      </c>
    </row>
    <row r="19" spans="1:16" x14ac:dyDescent="0.2">
      <c r="A19" s="16" t="s">
        <v>28</v>
      </c>
      <c r="B19" s="22">
        <f>0.00024*A8</f>
        <v>1.9200000000000002</v>
      </c>
      <c r="C19" s="17" t="s">
        <v>24</v>
      </c>
      <c r="D19" s="23">
        <v>33741.199999999997</v>
      </c>
      <c r="E19" s="19">
        <v>0</v>
      </c>
      <c r="F19" s="19">
        <f t="shared" si="0"/>
        <v>7085.6519999999991</v>
      </c>
      <c r="G19" s="20">
        <f t="shared" si="1"/>
        <v>40826.851999999999</v>
      </c>
      <c r="H19" s="21">
        <f t="shared" si="2"/>
        <v>64783.103999999999</v>
      </c>
      <c r="I19" s="20">
        <f t="shared" si="3"/>
        <v>78387.555840000001</v>
      </c>
      <c r="J19" s="14">
        <f t="shared" si="8"/>
        <v>809.78879999999992</v>
      </c>
      <c r="K19" s="20">
        <f t="shared" si="4"/>
        <v>979.84444799999994</v>
      </c>
      <c r="L19" s="14">
        <f t="shared" si="9"/>
        <v>8.0978879999999993</v>
      </c>
      <c r="M19" s="20">
        <f t="shared" si="5"/>
        <v>9.7984444799999988</v>
      </c>
      <c r="N19" s="14">
        <f t="shared" si="10"/>
        <v>6.0734159999999999</v>
      </c>
      <c r="O19" s="20">
        <f t="shared" si="6"/>
        <v>7.3488333599999995</v>
      </c>
      <c r="P19" s="15">
        <f t="shared" si="7"/>
        <v>2.080014200855659E-2</v>
      </c>
    </row>
    <row r="20" spans="1:16" x14ac:dyDescent="0.2">
      <c r="A20" s="16" t="s">
        <v>29</v>
      </c>
      <c r="B20" s="22">
        <f>0.00024*A8</f>
        <v>1.9200000000000002</v>
      </c>
      <c r="C20" s="10" t="s">
        <v>24</v>
      </c>
      <c r="D20" s="18">
        <f>378*21.29%+378</f>
        <v>458.47620000000001</v>
      </c>
      <c r="E20" s="12">
        <v>0</v>
      </c>
      <c r="F20" s="12">
        <f t="shared" si="0"/>
        <v>96.280001999999996</v>
      </c>
      <c r="G20" s="13">
        <f t="shared" si="1"/>
        <v>554.75620200000003</v>
      </c>
      <c r="H20" s="14">
        <f t="shared" si="2"/>
        <v>880.27430400000003</v>
      </c>
      <c r="I20" s="13">
        <f t="shared" si="3"/>
        <v>1065.1319078399999</v>
      </c>
      <c r="J20" s="14">
        <f t="shared" si="8"/>
        <v>11.003428800000002</v>
      </c>
      <c r="K20" s="13">
        <f t="shared" si="4"/>
        <v>13.314148848000002</v>
      </c>
      <c r="L20" s="14">
        <f t="shared" si="9"/>
        <v>0.11003428800000002</v>
      </c>
      <c r="M20" s="13">
        <f t="shared" si="5"/>
        <v>0.13314148848000001</v>
      </c>
      <c r="N20" s="14">
        <f t="shared" si="10"/>
        <v>8.2525716000000013E-2</v>
      </c>
      <c r="O20" s="13">
        <f t="shared" si="6"/>
        <v>9.9856116360000011E-2</v>
      </c>
      <c r="P20" s="15">
        <f t="shared" si="7"/>
        <v>2.8263280699985166E-4</v>
      </c>
    </row>
    <row r="21" spans="1:16" ht="12.75" thickBot="1" x14ac:dyDescent="0.25">
      <c r="A21" s="24" t="s">
        <v>30</v>
      </c>
      <c r="B21" s="22">
        <f>0.00001446*A8</f>
        <v>0.11568000000000001</v>
      </c>
      <c r="C21" s="25" t="s">
        <v>24</v>
      </c>
      <c r="D21" s="21">
        <v>13324.5</v>
      </c>
      <c r="E21" s="26">
        <v>0</v>
      </c>
      <c r="F21" s="26">
        <f t="shared" si="0"/>
        <v>2798.145</v>
      </c>
      <c r="G21" s="27">
        <f t="shared" si="1"/>
        <v>16122.645</v>
      </c>
      <c r="H21" s="28">
        <f>+B21*(D21+E21)</f>
        <v>1541.37816</v>
      </c>
      <c r="I21" s="27">
        <f t="shared" si="3"/>
        <v>1865.0675735999998</v>
      </c>
      <c r="J21" s="14">
        <f t="shared" si="8"/>
        <v>19.267227000000002</v>
      </c>
      <c r="K21" s="27">
        <f t="shared" si="4"/>
        <v>23.313344670000003</v>
      </c>
      <c r="L21" s="14">
        <f t="shared" si="9"/>
        <v>0.19267227000000001</v>
      </c>
      <c r="M21" s="27">
        <f t="shared" si="5"/>
        <v>0.2331334467</v>
      </c>
      <c r="N21" s="14">
        <f t="shared" si="10"/>
        <v>0.14450420250000001</v>
      </c>
      <c r="O21" s="27">
        <f t="shared" si="6"/>
        <v>0.17485008502500002</v>
      </c>
      <c r="P21" s="15">
        <f t="shared" si="7"/>
        <v>4.9489577740652346E-4</v>
      </c>
    </row>
    <row r="22" spans="1:16" ht="12.75" thickBot="1" x14ac:dyDescent="0.25">
      <c r="A22" s="68" t="s">
        <v>53</v>
      </c>
      <c r="B22" s="71"/>
      <c r="C22" s="71"/>
      <c r="D22" s="71"/>
      <c r="E22" s="71"/>
      <c r="F22" s="71"/>
      <c r="G22" s="72"/>
      <c r="H22" s="29">
        <f t="shared" ref="H22:O22" si="11">SUM(H10:H21)</f>
        <v>2142979.672944</v>
      </c>
      <c r="I22" s="30">
        <f t="shared" si="11"/>
        <v>2593005.40426224</v>
      </c>
      <c r="J22" s="29">
        <f t="shared" si="11"/>
        <v>26787.245911800001</v>
      </c>
      <c r="K22" s="29">
        <f t="shared" si="11"/>
        <v>32412.567553278004</v>
      </c>
      <c r="L22" s="29">
        <f t="shared" si="11"/>
        <v>267.87245911800005</v>
      </c>
      <c r="M22" s="29">
        <f t="shared" si="11"/>
        <v>324.12567553278006</v>
      </c>
      <c r="N22" s="29">
        <f t="shared" si="11"/>
        <v>200.90434433850004</v>
      </c>
      <c r="O22" s="31">
        <f t="shared" si="11"/>
        <v>243.09425664958499</v>
      </c>
      <c r="P22" s="32">
        <f t="shared" si="7"/>
        <v>0.68805411853506382</v>
      </c>
    </row>
    <row r="23" spans="1:16" x14ac:dyDescent="0.2">
      <c r="A23" s="33" t="s">
        <v>32</v>
      </c>
      <c r="B23" s="34">
        <f>+C8</f>
        <v>10666.666666666666</v>
      </c>
      <c r="C23" s="10" t="s">
        <v>10</v>
      </c>
      <c r="D23" s="11">
        <f>(1000*147)/10000</f>
        <v>14.7</v>
      </c>
      <c r="E23" s="12">
        <v>0</v>
      </c>
      <c r="F23" s="12">
        <f t="shared" ref="F23:F24" si="12">+D23*21%</f>
        <v>3.0869999999999997</v>
      </c>
      <c r="G23" s="13">
        <f t="shared" ref="G23:G24" si="13">SUM(D23:F23)</f>
        <v>17.786999999999999</v>
      </c>
      <c r="H23" s="14">
        <f>+B23*(D23+E23)</f>
        <v>156799.99999999997</v>
      </c>
      <c r="I23" s="13">
        <f t="shared" ref="I23:I24" si="14">+H23*21%+H23</f>
        <v>189727.99999999997</v>
      </c>
      <c r="J23" s="14">
        <f t="shared" ref="J23:J27" si="15">+L23*100</f>
        <v>1959.9999999999998</v>
      </c>
      <c r="K23" s="13">
        <f t="shared" ref="K23:K24" si="16">+J23*21%+J23</f>
        <v>2371.5999999999995</v>
      </c>
      <c r="L23" s="14">
        <f t="shared" ref="L23:L27" si="17">+N23/3*4</f>
        <v>19.599999999999998</v>
      </c>
      <c r="M23" s="13">
        <f t="shared" ref="M23:O24" si="18">+L23*21%+L23</f>
        <v>23.715999999999998</v>
      </c>
      <c r="N23" s="14">
        <f t="shared" ref="N23:N27" si="19">(D23+E23)*$B23/$C$8</f>
        <v>14.699999999999998</v>
      </c>
      <c r="O23" s="13">
        <f t="shared" ref="O23" si="20">+N23*21%+N23</f>
        <v>17.786999999999995</v>
      </c>
      <c r="P23" s="15">
        <f t="shared" si="7"/>
        <v>5.0344334642280691E-2</v>
      </c>
    </row>
    <row r="24" spans="1:16" x14ac:dyDescent="0.2">
      <c r="A24" s="33" t="s">
        <v>1</v>
      </c>
      <c r="B24" s="35">
        <f>+C8</f>
        <v>10666.666666666666</v>
      </c>
      <c r="C24" s="10" t="s">
        <v>10</v>
      </c>
      <c r="D24" s="11">
        <v>43.8</v>
      </c>
      <c r="E24" s="12">
        <v>0</v>
      </c>
      <c r="F24" s="12">
        <f t="shared" si="12"/>
        <v>9.1979999999999986</v>
      </c>
      <c r="G24" s="13">
        <f t="shared" si="13"/>
        <v>52.997999999999998</v>
      </c>
      <c r="H24" s="14">
        <f t="shared" ref="H24" si="21">+B24*(D24+E24)</f>
        <v>467199.99999999994</v>
      </c>
      <c r="I24" s="13">
        <f t="shared" si="14"/>
        <v>565311.99999999988</v>
      </c>
      <c r="J24" s="14">
        <f t="shared" si="15"/>
        <v>5840</v>
      </c>
      <c r="K24" s="13">
        <f t="shared" si="16"/>
        <v>7066.4</v>
      </c>
      <c r="L24" s="14">
        <f t="shared" si="17"/>
        <v>58.4</v>
      </c>
      <c r="M24" s="13">
        <f t="shared" si="18"/>
        <v>70.664000000000001</v>
      </c>
      <c r="N24" s="14">
        <f t="shared" si="19"/>
        <v>43.8</v>
      </c>
      <c r="O24" s="13">
        <f t="shared" si="18"/>
        <v>52.997999999999998</v>
      </c>
      <c r="P24" s="15">
        <f t="shared" si="7"/>
        <v>0.15000556852597921</v>
      </c>
    </row>
    <row r="25" spans="1:16" x14ac:dyDescent="0.2">
      <c r="A25" s="36" t="s">
        <v>33</v>
      </c>
      <c r="B25" s="34">
        <f>+C8</f>
        <v>10666.666666666666</v>
      </c>
      <c r="C25" s="17" t="s">
        <v>10</v>
      </c>
      <c r="D25" s="23">
        <v>11.68</v>
      </c>
      <c r="E25" s="19">
        <v>0</v>
      </c>
      <c r="F25" s="19">
        <f>+D25*21%</f>
        <v>2.4527999999999999</v>
      </c>
      <c r="G25" s="20">
        <f>SUM(D25:F25)</f>
        <v>14.1328</v>
      </c>
      <c r="H25" s="21">
        <f>+B25*(D25+E25)</f>
        <v>124586.66666666666</v>
      </c>
      <c r="I25" s="20">
        <f>+H25*21%+H25</f>
        <v>150749.86666666664</v>
      </c>
      <c r="J25" s="14">
        <f t="shared" si="15"/>
        <v>1557.3333333333333</v>
      </c>
      <c r="K25" s="20">
        <f>+J25*21%+J25</f>
        <v>1884.3733333333332</v>
      </c>
      <c r="L25" s="14">
        <f t="shared" si="17"/>
        <v>15.573333333333332</v>
      </c>
      <c r="M25" s="20">
        <f>+L25*21%+L25</f>
        <v>18.843733333333333</v>
      </c>
      <c r="N25" s="14">
        <f t="shared" si="19"/>
        <v>11.68</v>
      </c>
      <c r="O25" s="20">
        <f>+N25*21%+N25</f>
        <v>14.1328</v>
      </c>
      <c r="P25" s="15">
        <f t="shared" si="7"/>
        <v>4.0001484940261123E-2</v>
      </c>
    </row>
    <row r="26" spans="1:16" x14ac:dyDescent="0.2">
      <c r="A26" s="36" t="s">
        <v>34</v>
      </c>
      <c r="B26" s="34">
        <f>+C8</f>
        <v>10666.666666666666</v>
      </c>
      <c r="C26" s="17" t="s">
        <v>10</v>
      </c>
      <c r="D26" s="23">
        <v>8.68</v>
      </c>
      <c r="E26" s="19">
        <v>0</v>
      </c>
      <c r="F26" s="19">
        <f>+D26*21%</f>
        <v>1.8228</v>
      </c>
      <c r="G26" s="20">
        <f>SUM(D26:F26)</f>
        <v>10.502800000000001</v>
      </c>
      <c r="H26" s="21">
        <f>+B26*(D26+E26)</f>
        <v>92586.666666666657</v>
      </c>
      <c r="I26" s="20">
        <f>+H26*21%+H26</f>
        <v>112029.86666666665</v>
      </c>
      <c r="J26" s="14">
        <f t="shared" si="15"/>
        <v>1157.3333333333333</v>
      </c>
      <c r="K26" s="20">
        <f>+J26*21%+J26</f>
        <v>1400.3733333333332</v>
      </c>
      <c r="L26" s="14">
        <f t="shared" si="17"/>
        <v>11.573333333333332</v>
      </c>
      <c r="M26" s="20">
        <f>+L26*21%+L26</f>
        <v>14.003733333333333</v>
      </c>
      <c r="N26" s="14">
        <f t="shared" si="19"/>
        <v>8.68</v>
      </c>
      <c r="O26" s="20">
        <f>+N26*21%+N26</f>
        <v>10.502800000000001</v>
      </c>
      <c r="P26" s="15">
        <f t="shared" si="7"/>
        <v>2.9727130931632411E-2</v>
      </c>
    </row>
    <row r="27" spans="1:16" ht="12.75" thickBot="1" x14ac:dyDescent="0.25">
      <c r="A27" s="36" t="s">
        <v>35</v>
      </c>
      <c r="B27" s="34">
        <f>+C8/6</f>
        <v>1777.7777777777776</v>
      </c>
      <c r="C27" s="17" t="s">
        <v>10</v>
      </c>
      <c r="D27" s="23">
        <v>58</v>
      </c>
      <c r="E27" s="19">
        <v>0</v>
      </c>
      <c r="F27" s="19">
        <f t="shared" ref="F27" si="22">+D27*21%</f>
        <v>12.18</v>
      </c>
      <c r="G27" s="20">
        <f t="shared" ref="G27" si="23">SUM(D27:F27)</f>
        <v>70.180000000000007</v>
      </c>
      <c r="H27" s="21">
        <f t="shared" ref="H27" si="24">+B27*(D27+E27)</f>
        <v>103111.11111111109</v>
      </c>
      <c r="I27" s="20">
        <f t="shared" ref="I27" si="25">+H27*21%+H27</f>
        <v>124764.44444444442</v>
      </c>
      <c r="J27" s="14">
        <f t="shared" si="15"/>
        <v>1288.8888888888887</v>
      </c>
      <c r="K27" s="20">
        <f t="shared" ref="K27" si="26">+J27*21%+J27</f>
        <v>1559.5555555555552</v>
      </c>
      <c r="L27" s="14">
        <f t="shared" si="17"/>
        <v>12.888888888888888</v>
      </c>
      <c r="M27" s="20">
        <f t="shared" ref="M27:O27" si="27">+L27*21%+L27</f>
        <v>15.595555555555553</v>
      </c>
      <c r="N27" s="14">
        <f t="shared" si="19"/>
        <v>9.6666666666666661</v>
      </c>
      <c r="O27" s="20">
        <f t="shared" si="27"/>
        <v>11.696666666666665</v>
      </c>
      <c r="P27" s="15">
        <f t="shared" si="7"/>
        <v>3.310625180558141E-2</v>
      </c>
    </row>
    <row r="28" spans="1:16" ht="12.75" thickBot="1" x14ac:dyDescent="0.25">
      <c r="A28" s="68" t="s">
        <v>54</v>
      </c>
      <c r="B28" s="71"/>
      <c r="C28" s="71"/>
      <c r="D28" s="71"/>
      <c r="E28" s="71"/>
      <c r="F28" s="71"/>
      <c r="G28" s="72"/>
      <c r="H28" s="29">
        <f t="shared" ref="H28:M28" si="28">SUM(H23:H26)</f>
        <v>841173.33333333314</v>
      </c>
      <c r="I28" s="30">
        <f t="shared" si="28"/>
        <v>1017819.7333333332</v>
      </c>
      <c r="J28" s="29">
        <f t="shared" si="28"/>
        <v>10514.666666666668</v>
      </c>
      <c r="K28" s="29">
        <f t="shared" si="28"/>
        <v>12722.746666666666</v>
      </c>
      <c r="L28" s="29">
        <f t="shared" si="28"/>
        <v>105.14666666666668</v>
      </c>
      <c r="M28" s="29">
        <f t="shared" si="28"/>
        <v>127.22746666666666</v>
      </c>
      <c r="N28" s="29">
        <f>SUM(N23:N27)</f>
        <v>88.526666666666657</v>
      </c>
      <c r="O28" s="31">
        <f>SUM(O23:O26)</f>
        <v>95.420600000000007</v>
      </c>
      <c r="P28" s="32">
        <f t="shared" si="7"/>
        <v>0.30318477084573481</v>
      </c>
    </row>
    <row r="29" spans="1:16" x14ac:dyDescent="0.2">
      <c r="A29" s="36" t="s">
        <v>36</v>
      </c>
      <c r="B29" s="34">
        <f>+C8/750</f>
        <v>14.222222222222221</v>
      </c>
      <c r="C29" s="17" t="s">
        <v>10</v>
      </c>
      <c r="D29" s="21">
        <v>1067</v>
      </c>
      <c r="E29" s="19">
        <v>0</v>
      </c>
      <c r="F29" s="19">
        <f t="shared" ref="F29:F31" si="29">+D29*21%</f>
        <v>224.07</v>
      </c>
      <c r="G29" s="20">
        <f t="shared" ref="G29" si="30">SUM(D29:F29)</f>
        <v>1291.07</v>
      </c>
      <c r="H29" s="21">
        <f>+B29*(D29+E29)</f>
        <v>15175.111111111109</v>
      </c>
      <c r="I29" s="20">
        <f t="shared" ref="I29:I31" si="31">+H29*21%+H29</f>
        <v>18361.884444444444</v>
      </c>
      <c r="J29" s="14">
        <f t="shared" ref="J29:J31" si="32">+L29*100</f>
        <v>189.68888888888887</v>
      </c>
      <c r="K29" s="20">
        <f t="shared" ref="K29:K31" si="33">+J29*21%+J29</f>
        <v>229.52355555555553</v>
      </c>
      <c r="L29" s="14">
        <f t="shared" si="9"/>
        <v>1.8968888888888886</v>
      </c>
      <c r="M29" s="20">
        <f t="shared" ref="M29:M31" si="34">+L29*21%+L29</f>
        <v>2.2952355555555553</v>
      </c>
      <c r="N29" s="14">
        <f t="shared" ref="N29:N31" si="35">(D29+E29)*$B29/$C$8</f>
        <v>1.4226666666666665</v>
      </c>
      <c r="O29" s="20">
        <f t="shared" ref="O29:O31" si="36">+N29*21%+N29</f>
        <v>1.7214266666666664</v>
      </c>
      <c r="P29" s="15">
        <f t="shared" si="7"/>
        <v>4.872326989869705E-3</v>
      </c>
    </row>
    <row r="30" spans="1:16" x14ac:dyDescent="0.2">
      <c r="A30" s="36" t="s">
        <v>37</v>
      </c>
      <c r="B30" s="34">
        <f>C8/187.5</f>
        <v>56.888888888888886</v>
      </c>
      <c r="C30" s="17" t="s">
        <v>10</v>
      </c>
      <c r="D30" s="21">
        <v>115</v>
      </c>
      <c r="E30" s="19">
        <v>0</v>
      </c>
      <c r="F30" s="19">
        <f t="shared" si="29"/>
        <v>24.15</v>
      </c>
      <c r="G30" s="20">
        <f t="shared" ref="G30" si="37">SUM(D30:F30)</f>
        <v>139.15</v>
      </c>
      <c r="H30" s="21">
        <f>+B30*(D30+E30)</f>
        <v>6542.2222222222217</v>
      </c>
      <c r="I30" s="20">
        <f t="shared" si="31"/>
        <v>7916.0888888888885</v>
      </c>
      <c r="J30" s="14">
        <f t="shared" si="32"/>
        <v>81.777777777777771</v>
      </c>
      <c r="K30" s="20">
        <f t="shared" si="33"/>
        <v>98.951111111111103</v>
      </c>
      <c r="L30" s="14">
        <f t="shared" si="9"/>
        <v>0.81777777777777771</v>
      </c>
      <c r="M30" s="20">
        <f t="shared" si="34"/>
        <v>0.98951111111111101</v>
      </c>
      <c r="N30" s="14">
        <f t="shared" si="35"/>
        <v>0.61333333333333329</v>
      </c>
      <c r="O30" s="20">
        <f t="shared" si="36"/>
        <v>0.74213333333333331</v>
      </c>
      <c r="P30" s="15">
        <f t="shared" si="7"/>
        <v>2.100534597319648E-3</v>
      </c>
    </row>
    <row r="31" spans="1:16" ht="12.75" thickBot="1" x14ac:dyDescent="0.25">
      <c r="A31" s="36" t="s">
        <v>38</v>
      </c>
      <c r="B31" s="37">
        <f>+C8/3750</f>
        <v>2.8444444444444441</v>
      </c>
      <c r="C31" s="17" t="s">
        <v>10</v>
      </c>
      <c r="D31" s="21">
        <v>1958.06</v>
      </c>
      <c r="E31" s="19">
        <v>0</v>
      </c>
      <c r="F31" s="19">
        <f t="shared" si="29"/>
        <v>411.19259999999997</v>
      </c>
      <c r="G31" s="20">
        <f t="shared" ref="G31" si="38">SUM(D31:F31)</f>
        <v>2369.2525999999998</v>
      </c>
      <c r="H31" s="21">
        <f>+B31*(D31+E31)</f>
        <v>5569.5928888888884</v>
      </c>
      <c r="I31" s="20">
        <f t="shared" si="31"/>
        <v>6739.2073955555552</v>
      </c>
      <c r="J31" s="14">
        <f t="shared" si="32"/>
        <v>69.619911111111108</v>
      </c>
      <c r="K31" s="20">
        <f t="shared" si="33"/>
        <v>84.240092444444443</v>
      </c>
      <c r="L31" s="14">
        <f t="shared" si="9"/>
        <v>0.6961991111111111</v>
      </c>
      <c r="M31" s="20">
        <f t="shared" si="34"/>
        <v>0.84240092444444437</v>
      </c>
      <c r="N31" s="14">
        <f t="shared" si="35"/>
        <v>0.52214933333333335</v>
      </c>
      <c r="O31" s="20">
        <f t="shared" si="36"/>
        <v>0.63180069333333333</v>
      </c>
      <c r="P31" s="15">
        <f t="shared" si="7"/>
        <v>1.788249032012048E-3</v>
      </c>
    </row>
    <row r="32" spans="1:16" ht="12.75" thickBot="1" x14ac:dyDescent="0.25">
      <c r="A32" s="56" t="s">
        <v>55</v>
      </c>
      <c r="B32" s="71"/>
      <c r="C32" s="71"/>
      <c r="D32" s="71"/>
      <c r="E32" s="71"/>
      <c r="F32" s="71"/>
      <c r="G32" s="72"/>
      <c r="H32" s="29">
        <f>SUM(H29:H31)</f>
        <v>27286.926222222221</v>
      </c>
      <c r="I32" s="38">
        <f>SUM(I29:I31)</f>
        <v>33017.180728888889</v>
      </c>
      <c r="J32" s="31">
        <f t="shared" ref="J32:O32" si="39">SUM(J29:J31)</f>
        <v>341.08657777777773</v>
      </c>
      <c r="K32" s="31">
        <f t="shared" si="39"/>
        <v>412.71475911111105</v>
      </c>
      <c r="L32" s="31">
        <f t="shared" si="39"/>
        <v>3.4108657777777771</v>
      </c>
      <c r="M32" s="31">
        <f t="shared" si="39"/>
        <v>4.1271475911111102</v>
      </c>
      <c r="N32" s="31">
        <f t="shared" si="39"/>
        <v>2.5581493333333327</v>
      </c>
      <c r="O32" s="31">
        <f t="shared" si="39"/>
        <v>3.0953606933333333</v>
      </c>
      <c r="P32" s="32">
        <f t="shared" si="7"/>
        <v>8.7611106192013993E-3</v>
      </c>
    </row>
    <row r="33" spans="1:16" ht="12.75" thickBot="1" x14ac:dyDescent="0.25">
      <c r="A33" s="69" t="s">
        <v>14</v>
      </c>
      <c r="B33" s="39"/>
      <c r="C33" s="39"/>
      <c r="D33" s="39"/>
      <c r="E33" s="39"/>
      <c r="F33" s="39"/>
      <c r="G33" s="40"/>
      <c r="H33" s="41">
        <f t="shared" ref="H33:P33" si="40">+H32+H28+H22</f>
        <v>3011439.9324995554</v>
      </c>
      <c r="I33" s="41">
        <f t="shared" si="40"/>
        <v>3643842.318324462</v>
      </c>
      <c r="J33" s="41">
        <f t="shared" si="40"/>
        <v>37642.999156244448</v>
      </c>
      <c r="K33" s="41">
        <f t="shared" si="40"/>
        <v>45548.02897905578</v>
      </c>
      <c r="L33" s="41">
        <f t="shared" si="40"/>
        <v>376.42999156244451</v>
      </c>
      <c r="M33" s="41">
        <f t="shared" si="40"/>
        <v>455.48028979055783</v>
      </c>
      <c r="N33" s="41">
        <f t="shared" si="40"/>
        <v>291.98916033850003</v>
      </c>
      <c r="O33" s="41">
        <f t="shared" si="40"/>
        <v>341.6102173429183</v>
      </c>
      <c r="P33" s="42">
        <f t="shared" si="40"/>
        <v>1</v>
      </c>
    </row>
    <row r="34" spans="1:16" ht="12.75" thickBot="1" x14ac:dyDescent="0.25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4"/>
      <c r="O34" s="43"/>
      <c r="P34" s="43"/>
    </row>
    <row r="35" spans="1:16" ht="12.75" thickBot="1" x14ac:dyDescent="0.25">
      <c r="A35" s="43"/>
      <c r="B35" s="43"/>
      <c r="C35" s="43"/>
      <c r="D35" s="45" t="s">
        <v>39</v>
      </c>
      <c r="E35" s="46"/>
      <c r="F35" s="47" t="s">
        <v>31</v>
      </c>
      <c r="G35" s="43"/>
      <c r="H35" s="43"/>
      <c r="I35" s="47" t="s">
        <v>31</v>
      </c>
      <c r="J35" s="43"/>
      <c r="K35" s="43"/>
      <c r="L35" s="43"/>
      <c r="M35" s="43"/>
      <c r="N35" s="43"/>
      <c r="O35" s="47"/>
      <c r="P35" s="47"/>
    </row>
    <row r="36" spans="1:16" ht="24.75" thickBot="1" x14ac:dyDescent="0.25">
      <c r="A36" s="48"/>
      <c r="B36" s="48"/>
      <c r="C36" s="48"/>
      <c r="D36" s="7" t="s">
        <v>40</v>
      </c>
      <c r="E36" s="4" t="s">
        <v>41</v>
      </c>
      <c r="F36" s="49" t="s">
        <v>31</v>
      </c>
      <c r="G36" s="48"/>
      <c r="H36" s="48"/>
      <c r="I36" s="49" t="s">
        <v>31</v>
      </c>
      <c r="J36" s="48"/>
      <c r="K36" s="48"/>
      <c r="L36" s="48"/>
      <c r="M36" s="48"/>
      <c r="N36" s="48"/>
      <c r="O36" s="49"/>
      <c r="P36" s="49"/>
    </row>
    <row r="37" spans="1:16" x14ac:dyDescent="0.2">
      <c r="A37" s="48"/>
      <c r="B37" s="48"/>
      <c r="C37" s="48"/>
      <c r="D37" s="50" t="s">
        <v>42</v>
      </c>
      <c r="E37" s="51">
        <v>14.22</v>
      </c>
      <c r="F37" s="49" t="s">
        <v>31</v>
      </c>
      <c r="G37" s="48"/>
      <c r="H37" s="48"/>
      <c r="I37" s="49" t="s">
        <v>31</v>
      </c>
      <c r="J37" s="48"/>
      <c r="K37" s="48"/>
      <c r="L37" s="48"/>
      <c r="M37" s="48"/>
      <c r="N37" s="48"/>
      <c r="O37" s="49"/>
      <c r="P37" s="49"/>
    </row>
    <row r="38" spans="1:16" x14ac:dyDescent="0.2">
      <c r="A38" s="43"/>
      <c r="B38" s="43"/>
      <c r="C38" s="43"/>
      <c r="D38" s="52" t="s">
        <v>43</v>
      </c>
      <c r="E38" s="53">
        <v>60.59</v>
      </c>
      <c r="F38" s="47" t="s">
        <v>31</v>
      </c>
      <c r="G38" s="43"/>
      <c r="H38" s="43"/>
      <c r="I38" s="47" t="s">
        <v>31</v>
      </c>
      <c r="J38" s="43"/>
      <c r="K38" s="43"/>
      <c r="L38" s="43"/>
      <c r="M38" s="43"/>
      <c r="N38" s="43"/>
      <c r="O38" s="47"/>
      <c r="P38" s="47"/>
    </row>
    <row r="39" spans="1:16" x14ac:dyDescent="0.2">
      <c r="A39" s="43"/>
      <c r="B39" s="43"/>
      <c r="C39" s="43"/>
      <c r="D39" s="52" t="s">
        <v>44</v>
      </c>
      <c r="E39" s="53">
        <f>2.73+4.84</f>
        <v>7.57</v>
      </c>
      <c r="F39" s="47" t="s">
        <v>31</v>
      </c>
      <c r="G39" s="43"/>
      <c r="H39" s="43"/>
      <c r="I39" s="47" t="s">
        <v>31</v>
      </c>
      <c r="J39" s="43"/>
      <c r="K39" s="43"/>
      <c r="L39" s="43"/>
      <c r="M39" s="43"/>
      <c r="N39" s="43"/>
      <c r="O39" s="47"/>
      <c r="P39" s="47"/>
    </row>
    <row r="40" spans="1:16" ht="12.75" thickBot="1" x14ac:dyDescent="0.25">
      <c r="A40" s="43"/>
      <c r="B40" s="43"/>
      <c r="C40" s="43"/>
      <c r="D40" s="54" t="s">
        <v>45</v>
      </c>
      <c r="E40" s="55">
        <v>42.86</v>
      </c>
      <c r="F40" s="47" t="s">
        <v>31</v>
      </c>
      <c r="G40" s="43"/>
      <c r="H40" s="43"/>
      <c r="I40" s="47" t="s">
        <v>31</v>
      </c>
      <c r="J40" s="43"/>
      <c r="K40" s="43"/>
      <c r="L40" s="43"/>
      <c r="M40" s="43"/>
      <c r="N40" s="43"/>
      <c r="O40" s="47"/>
      <c r="P40" s="47"/>
    </row>
    <row r="41" spans="1:16" ht="12.75" thickBot="1" x14ac:dyDescent="0.25">
      <c r="A41" s="43"/>
      <c r="B41" s="43"/>
      <c r="C41" s="43"/>
      <c r="D41" s="56" t="s">
        <v>41</v>
      </c>
      <c r="E41" s="57">
        <f>SUM(E37:E40)</f>
        <v>125.24</v>
      </c>
      <c r="F41" s="47" t="s">
        <v>31</v>
      </c>
      <c r="G41" s="43"/>
      <c r="H41" s="43"/>
      <c r="I41" s="47" t="s">
        <v>31</v>
      </c>
      <c r="J41" s="43"/>
      <c r="K41" s="43"/>
      <c r="L41" s="43"/>
      <c r="M41" s="43"/>
      <c r="N41" s="43"/>
      <c r="O41" s="47"/>
      <c r="P41" s="47"/>
    </row>
  </sheetData>
  <mergeCells count="7">
    <mergeCell ref="D2:I2"/>
    <mergeCell ref="D8:G8"/>
    <mergeCell ref="H8:I8"/>
    <mergeCell ref="D35:E35"/>
    <mergeCell ref="J8:K8"/>
    <mergeCell ref="L8:M8"/>
    <mergeCell ref="N8:O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Feriado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SupplyDestileria</dc:creator>
  <cp:lastModifiedBy>SupplyDestileria</cp:lastModifiedBy>
  <dcterms:created xsi:type="dcterms:W3CDTF">2022-11-11T12:56:01Z</dcterms:created>
  <dcterms:modified xsi:type="dcterms:W3CDTF">2022-11-11T13:20:52Z</dcterms:modified>
</cp:coreProperties>
</file>