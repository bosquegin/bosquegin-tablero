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Usuario\Dropbox\BOSQUE\"/>
    </mc:Choice>
  </mc:AlternateContent>
  <xr:revisionPtr revIDLastSave="0" documentId="13_ncr:1_{3D32F297-EC5C-4FD8-887E-9D0D025184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steo" sheetId="1" r:id="rId1"/>
    <sheet name="Insum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D16" i="1" l="1"/>
  <c r="D18" i="1"/>
  <c r="D14" i="1"/>
  <c r="D13" i="1"/>
  <c r="D12" i="1"/>
  <c r="D5" i="1"/>
  <c r="D4" i="1"/>
  <c r="D15" i="1"/>
  <c r="G18" i="2"/>
  <c r="G17" i="2"/>
  <c r="D3" i="1" l="1"/>
  <c r="H20" i="2"/>
  <c r="I20" i="2" s="1"/>
  <c r="J20" i="2" s="1"/>
  <c r="H18" i="2"/>
  <c r="I18" i="2" s="1"/>
  <c r="J18" i="2" s="1"/>
  <c r="H17" i="2"/>
  <c r="I17" i="2" s="1"/>
  <c r="J17" i="2" s="1"/>
  <c r="H16" i="2"/>
  <c r="I16" i="2" s="1"/>
  <c r="J16" i="2" s="1"/>
  <c r="H15" i="2"/>
  <c r="I15" i="2" s="1"/>
  <c r="J15" i="2" s="1"/>
  <c r="H14" i="2"/>
  <c r="I14" i="2" s="1"/>
  <c r="J14" i="2" s="1"/>
  <c r="H13" i="2"/>
  <c r="I13" i="2" s="1"/>
  <c r="J13" i="2" s="1"/>
  <c r="H12" i="2"/>
  <c r="I12" i="2" s="1"/>
  <c r="J12" i="2" s="1"/>
  <c r="F11" i="2"/>
  <c r="H11" i="2" s="1"/>
  <c r="I11" i="2" s="1"/>
  <c r="J11" i="2" s="1"/>
  <c r="F10" i="2"/>
  <c r="H10" i="2" s="1"/>
  <c r="D6" i="1" l="1"/>
  <c r="H19" i="2"/>
  <c r="I10" i="2"/>
  <c r="F19" i="2"/>
  <c r="J10" i="2" l="1"/>
  <c r="J19" i="2" s="1"/>
  <c r="I19" i="2"/>
</calcChain>
</file>

<file path=xl/sharedStrings.xml><?xml version="1.0" encoding="utf-8"?>
<sst xmlns="http://schemas.openxmlformats.org/spreadsheetml/2006/main" count="81" uniqueCount="80">
  <si>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</si>
  <si>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</si>
  <si>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</si>
  <si>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</si>
  <si>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</si>
  <si>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</si>
  <si>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</si>
  <si>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</si>
  <si>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</si>
  <si>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</si>
  <si>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</si>
  <si>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</si>
  <si>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</si>
  <si>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</si>
  <si>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</si>
  <si>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</si>
  <si>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</si>
  <si>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</si>
  <si>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</si>
  <si>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</si>
  <si>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</si>
  <si>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</si>
  <si>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</si>
  <si>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</si>
  <si>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</si>
  <si>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</si>
  <si>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</si>
  <si>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</si>
  <si>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Gin Bosque</t>
  </si>
  <si>
    <t>Alcohol 96% en el Macerador:</t>
  </si>
  <si>
    <t>Pink</t>
  </si>
  <si>
    <t>Roble</t>
  </si>
  <si>
    <t>MACERACIÓN:</t>
  </si>
  <si>
    <t>Sí</t>
  </si>
  <si>
    <t>Litros resultantes/batch</t>
  </si>
  <si>
    <t>Gin terminado (42%)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</si>
  <si>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</si>
  <si>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</si>
  <si>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</si>
  <si>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</si>
  <si>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</si>
  <si>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</si>
  <si>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</si>
  <si>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</si>
  <si>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Enebro Polaco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</si>
  <si>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</si>
  <si>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</si>
  <si>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</si>
  <si>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</si>
  <si>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</si>
  <si>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</si>
  <si>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</si>
  <si>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</si>
  <si>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</si>
  <si>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</si>
  <si>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</si>
  <si>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</si>
  <si>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</si>
  <si>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</si>
  <si>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</si>
  <si>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</si>
  <si>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</si>
  <si>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cotización 01/04/22</t>
  </si>
  <si>
    <t>IGB003</t>
  </si>
  <si>
    <t>ICB018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</si>
  <si>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</si>
  <si>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</si>
  <si>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</si>
  <si>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</si>
  <si>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</si>
  <si>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</si>
  <si>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</si>
  <si>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</si>
  <si>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PACK21</t>
  </si>
  <si>
    <t>IGB007</t>
  </si>
  <si>
    <t>cotización 01/05/22</t>
  </si>
  <si>
    <t>*6% inflación indec (Abril)</t>
  </si>
  <si>
    <t>* aumento 15% sueldos Abril</t>
  </si>
  <si>
    <t>Según cotización del mes * Desde 05-2022 se acuerda aplicar 20% sobre costo de insumos</t>
  </si>
  <si>
    <t>costo por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</si>
</sst>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</numFmts>
  <fonts count="20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0" borderId="0" xfId="0" applyFont="1"/>
    <xf numFmtId="0" fontId="2" fillId="0" borderId="1" xfId="0" applyFont="1" applyBorder="1"/>
    <xf numFmtId="165" fontId="2" fillId="0" borderId="1" xfId="0" applyNumberFormat="1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165" fontId="1" fillId="0" borderId="1" xfId="0" applyNumberFormat="1" applyFont="1" applyBorder="1"/>
    <xf numFmtId="166" fontId="2" fillId="0" borderId="1" xfId="0" applyNumberFormat="1" applyFont="1" applyBorder="1"/>
    <xf numFmtId="166" fontId="1" fillId="0" borderId="1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2" fillId="2" borderId="1" xfId="0" applyFont="1" applyFill="1" applyBorder="1"/>
    <xf numFmtId="0" fontId="19" fillId="0" borderId="0" xfId="0" applyFont="1" applyAlignment="1"/>
    <xf numFmtId="165" fontId="1" fillId="0" borderId="1" xfId="0" applyNumberFormat="1" applyFont="1" applyFill="1" applyBorder="1"/>
    <xf numFmtId="44" fontId="1" fillId="0" borderId="0" xfId="0" applyNumberFormat="1" applyFont="1" applyAlignment="1">
      <alignment wrapText="1"/>
    </xf>
    <xf numFmtId="0" fontId="0" fillId="0" borderId="0" xfId="0" applyFont="1" applyAlignment="1"/>
    <xf numFmtId="44" fontId="2" fillId="0" borderId="0" xfId="0" applyNumberFormat="1" applyFont="1" applyAlignment="1">
      <alignment horizontal="left" wrapText="1"/>
    </xf>
    <xf numFmtId="0" fontId="2" fillId="0" borderId="0" xfId="0" applyFont="1" applyBorder="1"/>
    <xf numFmtId="165" fontId="2" fillId="0" borderId="0" xfId="0" applyNumberFormat="1" applyFont="1" applyBorder="1"/>
    <xf numFmtId="0" fontId="1" fillId="0" borderId="0" xfId="0" applyFont="1" applyAlignment="1">
      <alignment horizontal="left" wrapText="1"/>
    </xf>
    <xf numFmtId="0" fontId="0" fillId="0" borderId="0" xfId="0" applyFont="1" applyAlignment="1"/>
    <xf numFmtId="0" fontId="2" fillId="0" borderId="0" xfId="0" applyFont="1" applyAlignment="1">
      <alignment horizontal="left" wrapText="1"/>
    </xf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2"/>
  <sheetViews>
    <sheetView tabSelected="1" workbookViewId="0">
      <selection activeCell="D17" sqref="D17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>
        <v>1.2</v>
      </c>
    </row>
    <row r="2" spans="1:13" x14ac:dyDescent="0.25">
      <c r="A2" s="2"/>
      <c r="B2" s="2" t="s">
        <v>0</v>
      </c>
      <c r="C2" s="38" t="s">
        <v>62</v>
      </c>
      <c r="D2" s="2" t="s">
        <v>75</v>
      </c>
    </row>
    <row r="3" spans="1:13" x14ac:dyDescent="0.25">
      <c r="A3" s="2" t="s">
        <v>57</v>
      </c>
      <c r="B3" s="2"/>
      <c r="C3" s="3">
        <v>76.899888081944454</v>
      </c>
      <c r="D3" s="3">
        <f>D4+D5</f>
        <v>87.130405686111118</v>
      </c>
      <c r="L3" s="4"/>
      <c r="M3" s="5"/>
    </row>
    <row r="4" spans="1:13" x14ac:dyDescent="0.25">
      <c r="A4" s="6"/>
      <c r="B4" s="7" t="s">
        <v>1</v>
      </c>
      <c r="C4" s="8">
        <v>31.5</v>
      </c>
      <c r="D4" s="8">
        <f>Insumos!J20</f>
        <v>36</v>
      </c>
      <c r="L4" s="4"/>
      <c r="M4" s="5"/>
    </row>
    <row r="5" spans="1:13" x14ac:dyDescent="0.25">
      <c r="A5" s="7"/>
      <c r="B5" s="7" t="s">
        <v>2</v>
      </c>
      <c r="C5" s="8">
        <v>45.399888081944447</v>
      </c>
      <c r="D5" s="40">
        <f>+Insumos!J19</f>
        <v>51.130405686111111</v>
      </c>
      <c r="L5" s="4"/>
      <c r="M5" s="5"/>
    </row>
    <row r="6" spans="1:13" x14ac:dyDescent="0.25">
      <c r="A6" s="2" t="s">
        <v>3</v>
      </c>
      <c r="B6" s="2"/>
      <c r="C6" s="9">
        <v>111.7</v>
      </c>
      <c r="D6" s="9">
        <f>D7+D8+D9+D10+D11+D12</f>
        <v>119.9425</v>
      </c>
      <c r="L6" s="4"/>
      <c r="M6" s="5"/>
    </row>
    <row r="7" spans="1:13" x14ac:dyDescent="0.25">
      <c r="A7" s="7" t="s">
        <v>73</v>
      </c>
      <c r="B7" s="7" t="s">
        <v>4</v>
      </c>
      <c r="C7" s="10">
        <v>0.79</v>
      </c>
      <c r="D7" s="10">
        <v>0.9</v>
      </c>
      <c r="L7" s="4"/>
      <c r="M7" s="5"/>
    </row>
    <row r="8" spans="1:13" x14ac:dyDescent="0.25">
      <c r="A8" s="7"/>
      <c r="B8" s="7" t="s">
        <v>5</v>
      </c>
      <c r="C8" s="10">
        <v>1.25</v>
      </c>
      <c r="D8" s="10">
        <v>1.45</v>
      </c>
      <c r="L8" s="4"/>
      <c r="M8" s="5"/>
    </row>
    <row r="9" spans="1:13" x14ac:dyDescent="0.25">
      <c r="A9" s="7" t="s">
        <v>74</v>
      </c>
      <c r="B9" s="7" t="s">
        <v>6</v>
      </c>
      <c r="C9" s="8">
        <v>38.64</v>
      </c>
      <c r="D9" s="8">
        <v>38.64</v>
      </c>
      <c r="E9" s="39"/>
      <c r="L9" s="4"/>
      <c r="M9" s="5"/>
    </row>
    <row r="10" spans="1:13" x14ac:dyDescent="0.25">
      <c r="A10" s="7" t="s">
        <v>61</v>
      </c>
      <c r="B10" s="7" t="s">
        <v>7</v>
      </c>
      <c r="C10" s="8">
        <v>13.12</v>
      </c>
      <c r="D10" s="8">
        <v>13.12</v>
      </c>
      <c r="E10" s="39"/>
      <c r="L10" s="4"/>
      <c r="M10" s="5"/>
    </row>
    <row r="11" spans="1:13" x14ac:dyDescent="0.25">
      <c r="A11" s="7" t="s">
        <v>59</v>
      </c>
      <c r="B11" s="7" t="s">
        <v>8</v>
      </c>
      <c r="C11" s="8">
        <v>43.35</v>
      </c>
      <c r="D11" s="8">
        <v>48.37</v>
      </c>
      <c r="E11" s="39"/>
      <c r="L11" s="4"/>
      <c r="M11" s="5"/>
    </row>
    <row r="12" spans="1:13" x14ac:dyDescent="0.25">
      <c r="A12" s="7" t="s">
        <v>60</v>
      </c>
      <c r="B12" s="7" t="s">
        <v>9</v>
      </c>
      <c r="C12" s="8">
        <v>14.55</v>
      </c>
      <c r="D12" s="8">
        <f>+(51.25+18.6)/4</f>
        <v>17.462499999999999</v>
      </c>
      <c r="E12" s="39"/>
      <c r="L12" s="4"/>
      <c r="M12" s="5"/>
    </row>
    <row r="13" spans="1:13" x14ac:dyDescent="0.25">
      <c r="A13" s="2" t="s">
        <v>10</v>
      </c>
      <c r="B13" s="11"/>
      <c r="C13" s="12">
        <v>69.316320000000005</v>
      </c>
      <c r="D13" s="12">
        <f>D14+D15</f>
        <v>76.769299200000006</v>
      </c>
      <c r="L13" s="4"/>
      <c r="M13" s="5"/>
    </row>
    <row r="14" spans="1:13" x14ac:dyDescent="0.25">
      <c r="A14" s="7"/>
      <c r="B14" s="7" t="s">
        <v>11</v>
      </c>
      <c r="C14" s="8">
        <v>32.716320000000003</v>
      </c>
      <c r="D14" s="8">
        <f>C14*1.06</f>
        <v>34.679299200000003</v>
      </c>
      <c r="E14" s="13" t="s">
        <v>76</v>
      </c>
      <c r="L14" s="4"/>
      <c r="M14" s="5"/>
    </row>
    <row r="15" spans="1:13" x14ac:dyDescent="0.25">
      <c r="A15" s="7"/>
      <c r="B15" s="7" t="s">
        <v>12</v>
      </c>
      <c r="C15" s="8">
        <v>36.6</v>
      </c>
      <c r="D15" s="8">
        <f>+C15*1.15</f>
        <v>42.089999999999996</v>
      </c>
      <c r="E15" s="13" t="s">
        <v>77</v>
      </c>
      <c r="L15" s="4"/>
      <c r="M15" s="5"/>
    </row>
    <row r="16" spans="1:13" x14ac:dyDescent="0.25">
      <c r="A16" s="2"/>
      <c r="B16" s="2" t="s">
        <v>13</v>
      </c>
      <c r="C16" s="3">
        <v>257.91620808194443</v>
      </c>
      <c r="D16" s="3">
        <f>(D13+D6)*D1+D3</f>
        <v>323.18456472611115</v>
      </c>
      <c r="L16" s="4"/>
      <c r="M16" s="5"/>
    </row>
    <row r="17" spans="1:13" s="42" customFormat="1" x14ac:dyDescent="0.25">
      <c r="A17" s="44"/>
      <c r="B17" s="44"/>
      <c r="C17" s="45"/>
      <c r="D17" s="45"/>
      <c r="L17" s="4"/>
      <c r="M17" s="5"/>
    </row>
    <row r="18" spans="1:13" s="42" customFormat="1" x14ac:dyDescent="0.25">
      <c r="A18" s="44"/>
      <c r="B18" s="44"/>
      <c r="C18" s="45" t="s">
        <v>79</v>
      </c>
      <c r="D18" s="45">
        <f>+D16*4</f>
        <v>1292.7382589044446</v>
      </c>
      <c r="L18" s="4"/>
      <c r="M18" s="5"/>
    </row>
    <row r="19" spans="1:13" s="42" customFormat="1" x14ac:dyDescent="0.25">
      <c r="A19" s="44"/>
      <c r="B19" s="44"/>
      <c r="C19" s="45"/>
      <c r="D19" s="45"/>
      <c r="L19" s="4"/>
      <c r="M19" s="5"/>
    </row>
    <row r="20" spans="1:13" x14ac:dyDescent="0.25">
      <c r="D20" s="41"/>
    </row>
    <row r="21" spans="1:13" ht="15" customHeight="1" x14ac:dyDescent="0.25">
      <c r="A21" s="48" t="s">
        <v>14</v>
      </c>
      <c r="B21" s="47"/>
      <c r="C21" s="47"/>
      <c r="D21" s="43"/>
      <c r="E21" s="14"/>
      <c r="F21" s="14"/>
      <c r="G21" s="14"/>
    </row>
    <row r="22" spans="1:13" ht="15" customHeight="1" x14ac:dyDescent="0.25">
      <c r="A22" s="46" t="s">
        <v>15</v>
      </c>
      <c r="B22" s="47"/>
      <c r="C22" s="47"/>
      <c r="D22" s="15"/>
      <c r="E22" s="15"/>
      <c r="F22" s="15"/>
      <c r="G22" s="15"/>
    </row>
    <row r="23" spans="1:13" ht="15" customHeight="1" x14ac:dyDescent="0.25">
      <c r="A23" s="46" t="s">
        <v>16</v>
      </c>
      <c r="B23" s="47"/>
      <c r="C23" s="47"/>
      <c r="D23" s="15"/>
      <c r="E23" s="15"/>
      <c r="F23" s="15"/>
      <c r="G23" s="15"/>
    </row>
    <row r="24" spans="1:13" ht="30.75" customHeight="1" x14ac:dyDescent="0.25">
      <c r="A24" s="46" t="s">
        <v>17</v>
      </c>
      <c r="B24" s="47"/>
      <c r="C24" s="47"/>
      <c r="D24" s="15"/>
      <c r="E24" s="15"/>
      <c r="F24" s="15"/>
      <c r="G24" s="15"/>
    </row>
    <row r="25" spans="1:13" ht="15" customHeight="1" x14ac:dyDescent="0.25">
      <c r="A25" s="46" t="s">
        <v>18</v>
      </c>
      <c r="B25" s="47"/>
      <c r="C25" s="47"/>
      <c r="D25" s="15"/>
      <c r="E25" s="15"/>
      <c r="F25" s="15"/>
      <c r="G25" s="15"/>
    </row>
    <row r="26" spans="1:13" ht="15" customHeight="1" x14ac:dyDescent="0.25">
      <c r="A26" s="46" t="s">
        <v>19</v>
      </c>
      <c r="B26" s="47"/>
      <c r="C26" s="47"/>
      <c r="D26" s="15"/>
      <c r="E26" s="15"/>
      <c r="F26" s="15"/>
      <c r="G26" s="15"/>
    </row>
    <row r="27" spans="1:13" ht="15" customHeight="1" x14ac:dyDescent="0.25">
      <c r="A27" s="46" t="s">
        <v>20</v>
      </c>
      <c r="B27" s="47"/>
      <c r="C27" s="47"/>
      <c r="D27" s="15"/>
      <c r="E27" s="15"/>
      <c r="F27" s="15"/>
      <c r="G27" s="15"/>
    </row>
    <row r="28" spans="1:13" ht="15" customHeight="1" x14ac:dyDescent="0.25">
      <c r="A28" s="46" t="s">
        <v>21</v>
      </c>
      <c r="B28" s="47"/>
      <c r="C28" s="47"/>
      <c r="D28" s="15"/>
      <c r="E28" s="15"/>
      <c r="F28" s="15"/>
      <c r="G28" s="15"/>
    </row>
    <row r="29" spans="1:13" ht="16.5" customHeight="1" x14ac:dyDescent="0.25">
      <c r="A29" s="46" t="s">
        <v>22</v>
      </c>
      <c r="B29" s="47"/>
      <c r="C29" s="47"/>
      <c r="D29" s="15"/>
      <c r="E29" s="15"/>
      <c r="F29" s="15"/>
      <c r="G29" s="15"/>
    </row>
    <row r="30" spans="1:13" ht="15.75" customHeight="1" x14ac:dyDescent="0.25">
      <c r="A30" s="16"/>
      <c r="B30" s="16"/>
      <c r="C30" s="16"/>
      <c r="D30" s="16"/>
      <c r="E30" s="16"/>
      <c r="F30" s="16"/>
      <c r="G30" s="16"/>
    </row>
    <row r="31" spans="1:13" ht="15.75" customHeight="1" x14ac:dyDescent="0.25">
      <c r="A31" s="1"/>
      <c r="B31" s="1"/>
    </row>
    <row r="32" spans="1:13" ht="15.75" customHeight="1" x14ac:dyDescent="0.25">
      <c r="A32" s="7" t="s">
        <v>23</v>
      </c>
      <c r="B32" s="7"/>
    </row>
    <row r="33" spans="1:3" ht="15.75" customHeight="1" x14ac:dyDescent="0.25">
      <c r="A33" s="7" t="s">
        <v>24</v>
      </c>
      <c r="B33" s="2" t="s">
        <v>78</v>
      </c>
    </row>
    <row r="34" spans="1:3" ht="15.75" customHeight="1" x14ac:dyDescent="0.25">
      <c r="A34" s="7" t="s">
        <v>25</v>
      </c>
      <c r="B34" s="7" t="s">
        <v>26</v>
      </c>
    </row>
    <row r="35" spans="1:3" ht="15.75" customHeight="1" x14ac:dyDescent="0.25">
      <c r="A35" s="7" t="s">
        <v>12</v>
      </c>
      <c r="B35" s="7" t="s">
        <v>27</v>
      </c>
      <c r="C35" t="s">
        <v>58</v>
      </c>
    </row>
    <row r="36" spans="1:3" ht="15.75" customHeight="1" x14ac:dyDescent="0.2"/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9">
    <mergeCell ref="A28:C28"/>
    <mergeCell ref="A29:C29"/>
    <mergeCell ref="A21:C21"/>
    <mergeCell ref="A22:C22"/>
    <mergeCell ref="A23:C23"/>
    <mergeCell ref="A24:C24"/>
    <mergeCell ref="A25:C25"/>
    <mergeCell ref="A26:C26"/>
    <mergeCell ref="A27:C27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D16" workbookViewId="0">
      <selection activeCell="J10" sqref="J10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3.125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7"/>
      <c r="B1" s="18" t="s">
        <v>28</v>
      </c>
      <c r="C1" s="19"/>
    </row>
    <row r="2" spans="1:13" ht="14.25" x14ac:dyDescent="0.2">
      <c r="A2" s="19"/>
    </row>
    <row r="3" spans="1:13" ht="43.5" x14ac:dyDescent="0.3">
      <c r="A3" s="20" t="s">
        <v>29</v>
      </c>
      <c r="B3" s="21">
        <v>540</v>
      </c>
      <c r="C3" s="19"/>
      <c r="D3" s="21"/>
      <c r="E3" s="19"/>
      <c r="F3" s="21"/>
      <c r="G3" s="22"/>
      <c r="H3" s="22"/>
      <c r="I3" s="19"/>
    </row>
    <row r="4" spans="1:13" ht="14.25" x14ac:dyDescent="0.2">
      <c r="A4" s="19"/>
    </row>
    <row r="5" spans="1:13" ht="14.25" x14ac:dyDescent="0.2">
      <c r="A5" s="23" t="s">
        <v>30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ht="30" x14ac:dyDescent="0.4">
      <c r="A6" s="23" t="s">
        <v>31</v>
      </c>
      <c r="B6" s="24" t="s">
        <v>32</v>
      </c>
      <c r="C6" s="18" t="s">
        <v>33</v>
      </c>
      <c r="D6" s="19"/>
      <c r="E6" s="25"/>
      <c r="F6" s="19"/>
      <c r="G6" s="26" t="s">
        <v>34</v>
      </c>
      <c r="H6" s="27">
        <v>900</v>
      </c>
      <c r="I6" s="28" t="s">
        <v>35</v>
      </c>
      <c r="J6" s="19"/>
      <c r="K6" s="19"/>
    </row>
    <row r="7" spans="1:13" ht="14.25" x14ac:dyDescent="0.2">
      <c r="A7" s="23"/>
      <c r="B7" s="19"/>
      <c r="C7" s="19"/>
      <c r="D7" s="19"/>
      <c r="E7" s="19"/>
      <c r="F7" s="19"/>
    </row>
    <row r="8" spans="1:13" ht="30" x14ac:dyDescent="0.4">
      <c r="A8" s="23"/>
      <c r="B8" s="29"/>
      <c r="C8" s="29"/>
      <c r="D8" s="29"/>
      <c r="E8" s="19"/>
      <c r="F8" s="19"/>
      <c r="G8" s="49">
        <v>44628</v>
      </c>
      <c r="H8" s="50"/>
      <c r="I8" s="50"/>
      <c r="J8" s="51"/>
      <c r="K8" s="19"/>
      <c r="L8" s="19"/>
      <c r="M8" s="19"/>
    </row>
    <row r="9" spans="1:13" ht="18" x14ac:dyDescent="0.25">
      <c r="A9" s="23" t="s">
        <v>36</v>
      </c>
      <c r="B9" s="19"/>
      <c r="C9" s="19"/>
      <c r="D9" s="19"/>
      <c r="E9" s="30" t="s">
        <v>37</v>
      </c>
      <c r="F9" s="30" t="s">
        <v>38</v>
      </c>
      <c r="G9" s="27" t="s">
        <v>39</v>
      </c>
      <c r="H9" s="27" t="s">
        <v>40</v>
      </c>
      <c r="I9" s="27" t="s">
        <v>41</v>
      </c>
      <c r="J9" s="27" t="s">
        <v>42</v>
      </c>
    </row>
    <row r="10" spans="1:13" x14ac:dyDescent="0.2">
      <c r="A10" s="23"/>
      <c r="B10" s="19"/>
      <c r="C10" s="19"/>
      <c r="D10" s="19" t="s">
        <v>63</v>
      </c>
      <c r="E10" s="31" t="s">
        <v>43</v>
      </c>
      <c r="F10" s="31">
        <f t="shared" ref="F10:F11" si="0">19282.5/2</f>
        <v>9641.25</v>
      </c>
      <c r="G10" s="32">
        <v>4588.54</v>
      </c>
      <c r="H10" s="32">
        <f t="shared" ref="H10:H18" si="1">G10*F10/1000</f>
        <v>44239.261274999997</v>
      </c>
      <c r="I10" s="32">
        <f t="shared" ref="I10:I18" si="2">+H10/$H$6</f>
        <v>49.154734749999996</v>
      </c>
      <c r="J10" s="32">
        <f t="shared" ref="J10:J18" si="3">I10/2</f>
        <v>24.577367374999998</v>
      </c>
    </row>
    <row r="11" spans="1:13" x14ac:dyDescent="0.2">
      <c r="A11" s="23"/>
      <c r="B11" s="19"/>
      <c r="C11" s="19"/>
      <c r="D11" s="19" t="s">
        <v>64</v>
      </c>
      <c r="E11" s="31" t="s">
        <v>44</v>
      </c>
      <c r="F11" s="31">
        <f t="shared" si="0"/>
        <v>9641.25</v>
      </c>
      <c r="G11" s="32">
        <v>4182.5</v>
      </c>
      <c r="H11" s="32">
        <f t="shared" si="1"/>
        <v>40324.528124999997</v>
      </c>
      <c r="I11" s="32">
        <f t="shared" si="2"/>
        <v>44.805031249999999</v>
      </c>
      <c r="J11" s="32">
        <f t="shared" si="3"/>
        <v>22.402515624999999</v>
      </c>
    </row>
    <row r="12" spans="1:13" x14ac:dyDescent="0.2">
      <c r="A12" s="23"/>
      <c r="B12" s="19"/>
      <c r="C12" s="19"/>
      <c r="D12" s="19" t="s">
        <v>65</v>
      </c>
      <c r="E12" s="31" t="s">
        <v>45</v>
      </c>
      <c r="F12" s="31">
        <v>3857.5</v>
      </c>
      <c r="G12" s="32">
        <v>187</v>
      </c>
      <c r="H12" s="32">
        <f t="shared" si="1"/>
        <v>721.35249999999996</v>
      </c>
      <c r="I12" s="32">
        <f t="shared" si="2"/>
        <v>0.80150277777777779</v>
      </c>
      <c r="J12" s="32">
        <f t="shared" si="3"/>
        <v>0.40075138888888889</v>
      </c>
    </row>
    <row r="13" spans="1:13" x14ac:dyDescent="0.2">
      <c r="A13" s="23"/>
      <c r="B13" s="19"/>
      <c r="C13" s="19"/>
      <c r="D13" s="19" t="s">
        <v>66</v>
      </c>
      <c r="E13" s="31" t="s">
        <v>46</v>
      </c>
      <c r="F13" s="31">
        <v>61.5</v>
      </c>
      <c r="G13" s="32">
        <v>18200</v>
      </c>
      <c r="H13" s="32">
        <f t="shared" si="1"/>
        <v>1119.3</v>
      </c>
      <c r="I13" s="32">
        <f t="shared" si="2"/>
        <v>1.2436666666666667</v>
      </c>
      <c r="J13" s="32">
        <f t="shared" si="3"/>
        <v>0.62183333333333335</v>
      </c>
    </row>
    <row r="14" spans="1:13" x14ac:dyDescent="0.2">
      <c r="A14" s="23"/>
      <c r="B14" s="19"/>
      <c r="C14" s="19"/>
      <c r="D14" s="19" t="s">
        <v>67</v>
      </c>
      <c r="E14" s="31" t="s">
        <v>47</v>
      </c>
      <c r="F14" s="31">
        <v>41.25</v>
      </c>
      <c r="G14" s="32">
        <v>3404</v>
      </c>
      <c r="H14" s="32">
        <f t="shared" si="1"/>
        <v>140.41499999999999</v>
      </c>
      <c r="I14" s="32">
        <f t="shared" si="2"/>
        <v>0.15601666666666666</v>
      </c>
      <c r="J14" s="32">
        <f t="shared" si="3"/>
        <v>7.8008333333333332E-2</v>
      </c>
    </row>
    <row r="15" spans="1:13" x14ac:dyDescent="0.2">
      <c r="A15" s="23"/>
      <c r="B15" s="19"/>
      <c r="C15" s="19"/>
      <c r="D15" s="19" t="s">
        <v>68</v>
      </c>
      <c r="E15" s="31" t="s">
        <v>48</v>
      </c>
      <c r="F15" s="31">
        <v>900</v>
      </c>
      <c r="G15" s="32">
        <v>523.85</v>
      </c>
      <c r="H15" s="32">
        <f t="shared" si="1"/>
        <v>471.46499999999997</v>
      </c>
      <c r="I15" s="32">
        <f t="shared" si="2"/>
        <v>0.52384999999999993</v>
      </c>
      <c r="J15" s="32">
        <f t="shared" si="3"/>
        <v>0.26192499999999996</v>
      </c>
    </row>
    <row r="16" spans="1:13" x14ac:dyDescent="0.2">
      <c r="A16" s="23"/>
      <c r="B16" s="19"/>
      <c r="C16" s="19"/>
      <c r="D16" s="19" t="s">
        <v>69</v>
      </c>
      <c r="E16" s="31" t="s">
        <v>49</v>
      </c>
      <c r="F16" s="31">
        <v>514.25</v>
      </c>
      <c r="G16" s="32">
        <v>8484.5</v>
      </c>
      <c r="H16" s="32">
        <f t="shared" si="1"/>
        <v>4363.154125</v>
      </c>
      <c r="I16" s="32">
        <f t="shared" si="2"/>
        <v>4.8479490277777781</v>
      </c>
      <c r="J16" s="32">
        <f t="shared" si="3"/>
        <v>2.4239745138888891</v>
      </c>
    </row>
    <row r="17" spans="1:13" x14ac:dyDescent="0.2">
      <c r="A17" s="23"/>
      <c r="B17" s="19"/>
      <c r="C17" s="19"/>
      <c r="D17" s="19" t="s">
        <v>70</v>
      </c>
      <c r="E17" s="31" t="s">
        <v>50</v>
      </c>
      <c r="F17" s="31">
        <v>52.06</v>
      </c>
      <c r="G17" s="32">
        <f>69.5*123</f>
        <v>8548.5</v>
      </c>
      <c r="H17" s="32">
        <f t="shared" si="1"/>
        <v>445.03491000000002</v>
      </c>
      <c r="I17" s="32">
        <f t="shared" si="2"/>
        <v>0.49448323333333338</v>
      </c>
      <c r="J17" s="32">
        <f t="shared" si="3"/>
        <v>0.24724161666666669</v>
      </c>
    </row>
    <row r="18" spans="1:13" x14ac:dyDescent="0.2">
      <c r="A18" s="23"/>
      <c r="B18" s="19"/>
      <c r="C18" s="19"/>
      <c r="D18" s="19" t="s">
        <v>71</v>
      </c>
      <c r="E18" s="31" t="s">
        <v>51</v>
      </c>
      <c r="F18" s="31">
        <v>21.1</v>
      </c>
      <c r="G18" s="32">
        <f>81*123</f>
        <v>9963</v>
      </c>
      <c r="H18" s="32">
        <f t="shared" si="1"/>
        <v>210.2193</v>
      </c>
      <c r="I18" s="32">
        <f t="shared" si="2"/>
        <v>0.23357700000000001</v>
      </c>
      <c r="J18" s="32">
        <f t="shared" si="3"/>
        <v>0.1167885</v>
      </c>
    </row>
    <row r="19" spans="1:13" ht="15.75" x14ac:dyDescent="0.25">
      <c r="A19" s="23"/>
      <c r="B19" s="19"/>
      <c r="C19" s="19"/>
      <c r="D19" s="19"/>
      <c r="E19" s="33" t="s">
        <v>52</v>
      </c>
      <c r="F19" s="33">
        <f>SUM(F10:F18)</f>
        <v>24730.16</v>
      </c>
      <c r="G19" s="34"/>
      <c r="H19" s="34">
        <f t="shared" ref="H19:J19" si="4">SUM(H10:H18)</f>
        <v>92034.730234999981</v>
      </c>
      <c r="I19" s="34">
        <f t="shared" si="4"/>
        <v>102.26081137222222</v>
      </c>
      <c r="J19" s="34">
        <f t="shared" si="4"/>
        <v>51.130405686111111</v>
      </c>
    </row>
    <row r="20" spans="1:13" ht="18" x14ac:dyDescent="0.25">
      <c r="A20" s="23"/>
      <c r="B20" s="19"/>
      <c r="C20" s="35"/>
      <c r="D20" s="19" t="s">
        <v>72</v>
      </c>
      <c r="E20" s="33" t="s">
        <v>53</v>
      </c>
      <c r="F20" s="33">
        <v>540000</v>
      </c>
      <c r="G20" s="36">
        <v>120</v>
      </c>
      <c r="H20" s="36">
        <f>G20*F20/1000</f>
        <v>64800</v>
      </c>
      <c r="I20" s="36">
        <f>+H20/$H$6</f>
        <v>72</v>
      </c>
      <c r="J20" s="36">
        <f>I20/2</f>
        <v>36</v>
      </c>
      <c r="K20" s="19"/>
      <c r="L20" s="37"/>
      <c r="M20" s="19"/>
    </row>
    <row r="21" spans="1:13" ht="18" x14ac:dyDescent="0.25">
      <c r="A21" s="23"/>
      <c r="B21" s="19"/>
      <c r="C21" s="35"/>
      <c r="D21" s="19"/>
      <c r="E21" s="19"/>
      <c r="F21" s="19"/>
      <c r="G21" s="19"/>
      <c r="H21" s="19"/>
      <c r="I21" s="19"/>
      <c r="J21" s="19"/>
      <c r="K21" s="19"/>
      <c r="L21" s="37"/>
      <c r="M21" s="19"/>
    </row>
    <row r="22" spans="1:13" ht="18" x14ac:dyDescent="0.25">
      <c r="A22" s="23"/>
      <c r="B22" s="19"/>
      <c r="C22" s="35" t="s">
        <v>54</v>
      </c>
      <c r="D22" s="19"/>
      <c r="E22" s="19"/>
      <c r="F22" s="19"/>
      <c r="G22" s="19"/>
      <c r="H22" s="19"/>
      <c r="I22" s="19"/>
      <c r="J22" s="19"/>
      <c r="K22" s="19"/>
      <c r="L22" s="37"/>
      <c r="M22" s="19"/>
    </row>
    <row r="23" spans="1:13" ht="90" customHeight="1" x14ac:dyDescent="0.2">
      <c r="A23" s="23" t="s">
        <v>55</v>
      </c>
      <c r="B23" s="19"/>
      <c r="C23" s="19"/>
      <c r="D23" s="52" t="s">
        <v>56</v>
      </c>
      <c r="E23" s="47"/>
      <c r="F23" s="47"/>
      <c r="G23" s="47"/>
      <c r="H23" s="47"/>
      <c r="I23" s="47"/>
      <c r="J23" s="47"/>
      <c r="K23" s="47"/>
      <c r="L23" s="19"/>
      <c r="M23" s="19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Costeo</vt:lpstr>
      <vt:lpstr>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2021-11-16T13:44:54Z</dcterms:created>
  <dcterms:modified xsi:type="dcterms:W3CDTF">2022-06-10T14:53:09Z</dcterms:modified>
</cp:coreProperties>
</file>