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AM\"/>
    </mc:Choice>
  </mc:AlternateContent>
  <xr:revisionPtr revIDLastSave="0" documentId="13_ncr:1_{1DB58675-D954-4F26-B9F9-49734245779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40" i="3" l="1"/>
  <c r="G39" i="3"/>
  <c r="C16" i="1"/>
  <c r="C15" i="1"/>
  <c r="C8" i="1"/>
  <c r="C9" i="1"/>
  <c r="C10" i="1"/>
  <c r="C11" i="1"/>
  <c r="C12" i="1"/>
  <c r="C7" i="1"/>
  <c r="C5" i="1"/>
  <c r="C3" i="1" s="1"/>
  <c r="C4" i="1"/>
  <c r="C2" i="1"/>
  <c r="C35" i="3"/>
  <c r="C14" i="1" l="1"/>
  <c r="C6" i="1"/>
  <c r="C13" i="1"/>
  <c r="C17" i="1" s="1"/>
  <c r="D16" i="1"/>
  <c r="D15" i="1"/>
  <c r="D12" i="1"/>
  <c r="D11" i="1"/>
  <c r="D10" i="1"/>
  <c r="D9" i="1"/>
  <c r="D7" i="1"/>
  <c r="G11" i="2"/>
  <c r="G10" i="2"/>
  <c r="D8" i="1"/>
  <c r="G20" i="2"/>
  <c r="G18" i="2"/>
  <c r="G17" i="2"/>
  <c r="G16" i="2"/>
  <c r="G15" i="2"/>
  <c r="G14" i="2"/>
  <c r="G13" i="2"/>
  <c r="G12" i="2"/>
  <c r="D2" i="1"/>
  <c r="D14" i="1" l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I19" i="2"/>
  <c r="D3" i="1" l="1"/>
  <c r="D13" i="1" s="1"/>
  <c r="D5" i="1"/>
  <c r="D17" i="1" l="1"/>
  <c r="D20" i="1" s="1"/>
</calcChain>
</file>

<file path=xl/sharedStrings.xml><?xml version="1.0" encoding="utf-8"?>
<sst xmlns="http://schemas.openxmlformats.org/spreadsheetml/2006/main" count="141" uniqueCount="111">
  <si>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</si>
  <si>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</si>
  <si>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</si>
  <si>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</si>
  <si>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</si>
  <si>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</si>
  <si>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</si>
  <si>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</si>
  <si>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</si>
  <si>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</si>
  <si>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</si>
  <si>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</si>
  <si>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</si>
  <si>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</si>
  <si>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</si>
  <si>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</si>
  <si>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</si>
  <si>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</si>
  <si>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</si>
  <si>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</si>
  <si>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</si>
  <si>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</si>
  <si>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</si>
  <si>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</si>
  <si>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</si>
  <si>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</si>
  <si>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</si>
  <si>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</si>
  <si>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</si>
  <si>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</si>
  <si>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</si>
  <si>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</si>
  <si>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</si>
  <si>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</si>
  <si>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</si>
  <si>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</si>
  <si>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</si>
  <si>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</si>
  <si>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</si>
  <si>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</si>
  <si>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</si>
  <si>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</si>
  <si>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</si>
  <si>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</si>
  <si>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</si>
  <si>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</si>
  <si>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</si>
  <si>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</si>
  <si>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</si>
  <si>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</si>
  <si>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</si>
  <si>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</si>
  <si>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</si>
  <si>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</si>
  <si>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</si>
  <si>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</si>
  <si>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</si>
  <si>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</si>
  <si>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</si>
  <si>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</si>
  <si>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</si>
  <si>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</si>
  <si>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</si>
  <si>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</si>
  <si>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</si>
  <si>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</si>
  <si>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</si>
  <si>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</si>
  <si>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</si>
  <si>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</si>
  <si>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</si>
  <si>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</si>
  <si>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</si>
  <si>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</si>
  <si>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</si>
  <si>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</si>
  <si>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</si>
  <si>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</si>
  <si>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</si>
  <si>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</si>
  <si>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</si>
  <si>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</si>
  <si>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</si>
  <si>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</si>
  <si>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</si>
  <si>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</si>
  <si>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</si>
  <si>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</si>
  <si>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</si>
  <si>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</si>
  <si>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</si>
  <si>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</si>
  <si>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</si>
  <si>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</si>
  <si>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</si>
  <si>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</si>
  <si>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</si>
  <si>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</si>
  <si>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</si>
  <si>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</si>
  <si>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</si>
  <si>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</si>
  <si>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</si>
  <si>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</si>
  <si>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</si>
  <si>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</si>
  <si>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</si>
  <si>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</t>
  </si>
  <si>
    <t>* Aumento Septiembre 22%</t>
  </si>
  <si>
    <t>*6,3% inflación indec (Oct)</t>
  </si>
  <si>
    <t>* aumento 22% sueldo 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</si>
</sst>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10" fontId="0" fillId="2" borderId="0" xfId="0" applyNumberFormat="1" applyFill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5" fillId="2" borderId="0" xfId="1" applyFont="1" applyFill="1" applyAlignment="1"/>
    <xf numFmtId="0" fontId="13" fillId="2" borderId="1" xfId="0" applyFont="1" applyFill="1" applyBorder="1"/>
    <xf numFmtId="43" fontId="19" fillId="0" borderId="0" xfId="1" applyFont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9" workbookViewId="0">
      <selection activeCell="C31" sqref="C31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75</v>
      </c>
      <c r="D1" t="s">
        <v>76</v>
      </c>
    </row>
    <row r="2" spans="1:4" ht="15" x14ac:dyDescent="0.25">
      <c r="A2" s="39" t="s">
        <v>74</v>
      </c>
      <c r="C2" s="44">
        <v>44866</v>
      </c>
      <c r="D2" s="44">
        <v>44896</v>
      </c>
    </row>
    <row r="3" spans="1:4" x14ac:dyDescent="0.2">
      <c r="C3" s="41"/>
      <c r="D3" s="41"/>
    </row>
    <row r="4" spans="1:4" x14ac:dyDescent="0.2">
      <c r="A4" s="61" t="s">
        <v>77</v>
      </c>
      <c r="B4" s="61"/>
      <c r="C4" s="43">
        <v>134.74132780993148</v>
      </c>
    </row>
    <row r="5" spans="1:4" x14ac:dyDescent="0.2">
      <c r="A5" s="33" t="s">
        <v>103</v>
      </c>
      <c r="C5" s="43">
        <v>55.109589041095887</v>
      </c>
    </row>
    <row r="6" spans="1:4" x14ac:dyDescent="0.2">
      <c r="C6" s="43">
        <v>79.67</v>
      </c>
    </row>
    <row r="7" spans="1:4" x14ac:dyDescent="0.2">
      <c r="C7" s="43">
        <v>165.06516836734696</v>
      </c>
    </row>
    <row r="8" spans="1:4" x14ac:dyDescent="0.2">
      <c r="C8" s="43">
        <v>0.95</v>
      </c>
    </row>
    <row r="9" spans="1:4" x14ac:dyDescent="0.2">
      <c r="C9" s="43">
        <v>5.1951683673469393</v>
      </c>
    </row>
    <row r="10" spans="1:4" x14ac:dyDescent="0.2">
      <c r="C10" s="43">
        <v>50.7</v>
      </c>
    </row>
    <row r="11" spans="1:4" x14ac:dyDescent="0.2">
      <c r="C11" s="43">
        <v>20.6</v>
      </c>
    </row>
    <row r="12" spans="1:4" x14ac:dyDescent="0.2">
      <c r="C12" s="43">
        <v>66.37</v>
      </c>
    </row>
    <row r="13" spans="1:4" x14ac:dyDescent="0.2">
      <c r="C13" s="43">
        <v>21.25</v>
      </c>
    </row>
    <row r="14" spans="1:4" x14ac:dyDescent="0.2">
      <c r="C14" s="43">
        <v>59.961299235455684</v>
      </c>
    </row>
    <row r="15" spans="1:4" x14ac:dyDescent="0.2">
      <c r="C15" s="43">
        <v>103.38995014417569</v>
      </c>
    </row>
    <row r="16" spans="1:4" x14ac:dyDescent="0.2">
      <c r="C16" s="43">
        <v>42.797186144175683</v>
      </c>
    </row>
    <row r="17" spans="1:4" x14ac:dyDescent="0.2">
      <c r="C17" s="43">
        <v>60.592763999999995</v>
      </c>
    </row>
    <row r="19" spans="1:4" ht="15" x14ac:dyDescent="0.25">
      <c r="A19" s="39" t="s">
        <v>78</v>
      </c>
      <c r="B19" s="56">
        <v>44900</v>
      </c>
      <c r="C19" s="49">
        <v>174.75</v>
      </c>
      <c r="D19" s="39"/>
    </row>
    <row r="20" spans="1:4" x14ac:dyDescent="0.2">
      <c r="A20" t="s">
        <v>60</v>
      </c>
      <c r="B20" t="s">
        <v>41</v>
      </c>
      <c r="C20" s="48">
        <v>4860</v>
      </c>
      <c r="D20" s="43"/>
    </row>
    <row r="21" spans="1:4" x14ac:dyDescent="0.2">
      <c r="A21" t="s">
        <v>61</v>
      </c>
      <c r="B21" t="s">
        <v>42</v>
      </c>
      <c r="C21" s="48">
        <v>6678</v>
      </c>
      <c r="D21" s="43"/>
    </row>
    <row r="22" spans="1:4" x14ac:dyDescent="0.2">
      <c r="A22" t="s">
        <v>62</v>
      </c>
      <c r="B22" t="s">
        <v>43</v>
      </c>
      <c r="C22" s="48">
        <v>322</v>
      </c>
      <c r="D22" s="43"/>
    </row>
    <row r="23" spans="1:4" x14ac:dyDescent="0.2">
      <c r="A23" t="s">
        <v>63</v>
      </c>
      <c r="B23" t="s">
        <v>44</v>
      </c>
      <c r="C23" s="48">
        <v>18200</v>
      </c>
      <c r="D23" s="43"/>
    </row>
    <row r="24" spans="1:4" x14ac:dyDescent="0.2">
      <c r="A24" t="s">
        <v>64</v>
      </c>
      <c r="B24" t="s">
        <v>45</v>
      </c>
      <c r="C24" s="48">
        <v>3404</v>
      </c>
      <c r="D24" s="43"/>
    </row>
    <row r="25" spans="1:4" x14ac:dyDescent="0.2">
      <c r="A25" t="s">
        <v>65</v>
      </c>
      <c r="B25" t="s">
        <v>46</v>
      </c>
      <c r="C25" s="48">
        <v>794.14</v>
      </c>
      <c r="D25" s="43"/>
    </row>
    <row r="26" spans="1:4" x14ac:dyDescent="0.2">
      <c r="A26" t="s">
        <v>66</v>
      </c>
      <c r="B26" t="s">
        <v>47</v>
      </c>
      <c r="C26" s="48">
        <v>8892.75</v>
      </c>
      <c r="D26" s="43"/>
    </row>
    <row r="27" spans="1:4" x14ac:dyDescent="0.2">
      <c r="A27" t="s">
        <v>67</v>
      </c>
      <c r="B27" t="s">
        <v>48</v>
      </c>
      <c r="C27" s="48">
        <v>69.5</v>
      </c>
      <c r="D27" s="43"/>
    </row>
    <row r="28" spans="1:4" x14ac:dyDescent="0.2">
      <c r="A28" t="s">
        <v>68</v>
      </c>
      <c r="B28" t="s">
        <v>49</v>
      </c>
      <c r="C28" s="48">
        <v>81</v>
      </c>
      <c r="D28" s="43"/>
    </row>
    <row r="29" spans="1:4" x14ac:dyDescent="0.2">
      <c r="A29" t="s">
        <v>69</v>
      </c>
      <c r="B29" t="s">
        <v>51</v>
      </c>
      <c r="C29" s="48">
        <v>166</v>
      </c>
      <c r="D29" s="60" t="s">
        <v>107</v>
      </c>
    </row>
    <row r="30" spans="1:4" x14ac:dyDescent="0.2">
      <c r="A30" t="s">
        <v>85</v>
      </c>
      <c r="B30" t="s">
        <v>4</v>
      </c>
      <c r="C30" s="48">
        <v>1.35</v>
      </c>
    </row>
    <row r="31" spans="1:4" x14ac:dyDescent="0.2">
      <c r="A31" s="33" t="s">
        <v>94</v>
      </c>
      <c r="B31" t="s">
        <v>86</v>
      </c>
      <c r="C31" s="48">
        <v>1067</v>
      </c>
      <c r="D31" s="33" t="s">
        <v>93</v>
      </c>
    </row>
    <row r="32" spans="1:4" x14ac:dyDescent="0.2">
      <c r="A32" s="33" t="s">
        <v>89</v>
      </c>
      <c r="B32" t="s">
        <v>87</v>
      </c>
      <c r="C32" s="48">
        <v>115</v>
      </c>
      <c r="D32" s="33" t="s">
        <v>91</v>
      </c>
    </row>
    <row r="33" spans="1:7" x14ac:dyDescent="0.2">
      <c r="A33" s="33" t="s">
        <v>95</v>
      </c>
      <c r="B33" s="33" t="s">
        <v>90</v>
      </c>
      <c r="C33" s="48">
        <v>1958.06</v>
      </c>
      <c r="D33" s="33" t="s">
        <v>92</v>
      </c>
    </row>
    <row r="34" spans="1:7" s="50" customFormat="1" ht="15" x14ac:dyDescent="0.25">
      <c r="A34" s="50" t="s">
        <v>96</v>
      </c>
      <c r="B34" s="50" t="s">
        <v>98</v>
      </c>
      <c r="C34" s="51">
        <v>12.55</v>
      </c>
      <c r="D34" s="50" t="s">
        <v>100</v>
      </c>
      <c r="F34" s="50">
        <v>12.55</v>
      </c>
    </row>
    <row r="35" spans="1:7" s="39" customFormat="1" ht="15" x14ac:dyDescent="0.25">
      <c r="B35" s="39" t="s">
        <v>88</v>
      </c>
      <c r="C35" s="49">
        <f>+(C31/980)+((C32*4)/980)+((C33/4)/980)+(C34/4)</f>
        <v>5.1951683673469393</v>
      </c>
    </row>
    <row r="36" spans="1:7" x14ac:dyDescent="0.2">
      <c r="A36" t="s">
        <v>70</v>
      </c>
      <c r="B36" t="s">
        <v>6</v>
      </c>
      <c r="C36" s="48">
        <v>55.9</v>
      </c>
    </row>
    <row r="37" spans="1:7" x14ac:dyDescent="0.2">
      <c r="A37" t="s">
        <v>59</v>
      </c>
      <c r="B37" t="s">
        <v>7</v>
      </c>
      <c r="C37" s="48">
        <v>25.4</v>
      </c>
    </row>
    <row r="38" spans="1:7" x14ac:dyDescent="0.2">
      <c r="A38" t="s">
        <v>57</v>
      </c>
      <c r="B38" t="s">
        <v>8</v>
      </c>
      <c r="C38" s="48">
        <v>66.37</v>
      </c>
    </row>
    <row r="39" spans="1:7" x14ac:dyDescent="0.2">
      <c r="A39" t="s">
        <v>81</v>
      </c>
      <c r="B39" t="s">
        <v>83</v>
      </c>
      <c r="C39" s="48">
        <v>73</v>
      </c>
      <c r="D39" s="33" t="s">
        <v>97</v>
      </c>
      <c r="G39" s="69">
        <f>+C39+C40</f>
        <v>93.4</v>
      </c>
    </row>
    <row r="40" spans="1:7" s="57" customFormat="1" x14ac:dyDescent="0.2">
      <c r="A40" s="57" t="s">
        <v>82</v>
      </c>
      <c r="B40" s="57" t="s">
        <v>84</v>
      </c>
      <c r="C40" s="58">
        <v>20.399999999999999</v>
      </c>
      <c r="D40" s="57" t="s">
        <v>101</v>
      </c>
      <c r="G40" s="57">
        <f>+G39/4.395</f>
        <v>21.251422070534701</v>
      </c>
    </row>
    <row r="41" spans="1:7" ht="15" x14ac:dyDescent="0.25">
      <c r="A41" s="39" t="s">
        <v>79</v>
      </c>
      <c r="C41" s="47">
        <v>6.3E-2</v>
      </c>
      <c r="D41" t="s">
        <v>106</v>
      </c>
    </row>
    <row r="42" spans="1:7" ht="15" x14ac:dyDescent="0.25">
      <c r="A42" s="39" t="s">
        <v>80</v>
      </c>
      <c r="C42" s="48">
        <v>0</v>
      </c>
      <c r="D42" s="33" t="s">
        <v>108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42">
        <f>+Datos!C2</f>
        <v>44866</v>
      </c>
      <c r="D2" s="38">
        <f>+Datos!D2</f>
        <v>44896</v>
      </c>
    </row>
    <row r="3" spans="1:13" x14ac:dyDescent="0.25">
      <c r="A3" s="2" t="s">
        <v>55</v>
      </c>
      <c r="B3" s="2"/>
      <c r="C3" s="52">
        <f>SUM(C4:C5)</f>
        <v>134.7795890410959</v>
      </c>
      <c r="D3" s="52">
        <f>D4+D5</f>
        <v>143.56255864383562</v>
      </c>
      <c r="E3" s="8" t="s">
        <v>99</v>
      </c>
      <c r="L3" s="3"/>
      <c r="M3" s="4"/>
    </row>
    <row r="4" spans="1:13" x14ac:dyDescent="0.25">
      <c r="A4" s="5"/>
      <c r="B4" s="6" t="s">
        <v>1</v>
      </c>
      <c r="C4" s="53">
        <f>+Datos!C5</f>
        <v>55.109589041095887</v>
      </c>
      <c r="D4" s="53">
        <f>Insumos!J20</f>
        <v>61.397260273972606</v>
      </c>
      <c r="E4" s="8"/>
      <c r="L4" s="3"/>
      <c r="M4" s="4"/>
    </row>
    <row r="5" spans="1:13" x14ac:dyDescent="0.25">
      <c r="A5" s="6"/>
      <c r="B5" s="6" t="s">
        <v>2</v>
      </c>
      <c r="C5" s="53">
        <f>+Datos!C6</f>
        <v>79.67</v>
      </c>
      <c r="D5" s="54">
        <f>+Insumos!J19</f>
        <v>82.165298369863009</v>
      </c>
      <c r="E5" s="8"/>
      <c r="L5" s="3"/>
      <c r="M5" s="4"/>
    </row>
    <row r="6" spans="1:13" x14ac:dyDescent="0.25">
      <c r="A6" s="2" t="s">
        <v>3</v>
      </c>
      <c r="B6" s="2"/>
      <c r="C6" s="52">
        <f>SUM(C7:C12)</f>
        <v>165.06516836734696</v>
      </c>
      <c r="D6" s="52">
        <f>D7+D8+D9+D10+D11+D12</f>
        <v>175.46516836734693</v>
      </c>
      <c r="E6" s="8"/>
      <c r="L6" s="3"/>
      <c r="M6" s="4"/>
    </row>
    <row r="7" spans="1:13" x14ac:dyDescent="0.25">
      <c r="A7" s="6" t="s">
        <v>85</v>
      </c>
      <c r="B7" s="6" t="s">
        <v>4</v>
      </c>
      <c r="C7" s="53">
        <f>+Datos!C8</f>
        <v>0.95</v>
      </c>
      <c r="D7" s="53">
        <f>+Datos!C30</f>
        <v>1.35</v>
      </c>
      <c r="E7" s="8"/>
      <c r="L7" s="3"/>
      <c r="M7" s="4"/>
    </row>
    <row r="8" spans="1:13" x14ac:dyDescent="0.25">
      <c r="A8" s="6"/>
      <c r="B8" s="6" t="s">
        <v>5</v>
      </c>
      <c r="C8" s="53">
        <f>+Datos!C9</f>
        <v>5.1951683673469393</v>
      </c>
      <c r="D8" s="53">
        <f>+Datos!C35</f>
        <v>5.1951683673469393</v>
      </c>
      <c r="E8" s="8" t="s">
        <v>102</v>
      </c>
      <c r="L8" s="3"/>
      <c r="M8" s="4"/>
    </row>
    <row r="9" spans="1:13" x14ac:dyDescent="0.25">
      <c r="A9" s="6" t="s">
        <v>70</v>
      </c>
      <c r="B9" s="6" t="s">
        <v>6</v>
      </c>
      <c r="C9" s="53">
        <f>+Datos!C10</f>
        <v>50.7</v>
      </c>
      <c r="D9" s="53">
        <f>+Datos!C36</f>
        <v>55.9</v>
      </c>
      <c r="E9" s="33"/>
      <c r="L9" s="3"/>
      <c r="M9" s="4"/>
    </row>
    <row r="10" spans="1:13" x14ac:dyDescent="0.25">
      <c r="A10" s="6" t="s">
        <v>59</v>
      </c>
      <c r="B10" s="6" t="s">
        <v>7</v>
      </c>
      <c r="C10" s="53">
        <f>+Datos!C11</f>
        <v>20.6</v>
      </c>
      <c r="D10" s="53">
        <f>+Datos!C37</f>
        <v>25.4</v>
      </c>
      <c r="E10" s="33"/>
      <c r="L10" s="3"/>
      <c r="M10" s="4"/>
    </row>
    <row r="11" spans="1:13" x14ac:dyDescent="0.25">
      <c r="A11" s="6" t="s">
        <v>57</v>
      </c>
      <c r="B11" s="6" t="s">
        <v>8</v>
      </c>
      <c r="C11" s="53">
        <f>+Datos!C12</f>
        <v>66.37</v>
      </c>
      <c r="D11" s="53">
        <f>+Datos!C38</f>
        <v>66.37</v>
      </c>
      <c r="E11" s="33"/>
      <c r="L11" s="3"/>
      <c r="M11" s="4"/>
    </row>
    <row r="12" spans="1:13" x14ac:dyDescent="0.25">
      <c r="A12" s="6" t="s">
        <v>58</v>
      </c>
      <c r="B12" s="6" t="s">
        <v>9</v>
      </c>
      <c r="C12" s="53">
        <f>+Datos!C13</f>
        <v>21.25</v>
      </c>
      <c r="D12" s="53">
        <f>+C12</f>
        <v>21.25</v>
      </c>
      <c r="E12" s="33"/>
      <c r="G12" s="50"/>
      <c r="L12" s="3"/>
      <c r="M12" s="4"/>
    </row>
    <row r="13" spans="1:13" s="39" customFormat="1" x14ac:dyDescent="0.25">
      <c r="A13" s="2" t="s">
        <v>73</v>
      </c>
      <c r="B13" s="2">
        <v>0.2</v>
      </c>
      <c r="C13" s="52">
        <f>+(C3+C6)*$B$13</f>
        <v>59.968951481688578</v>
      </c>
      <c r="D13" s="52">
        <f>+(D3+D6)*$B$13</f>
        <v>63.805545402236511</v>
      </c>
      <c r="G13" s="46"/>
      <c r="L13" s="37"/>
      <c r="M13" s="40"/>
    </row>
    <row r="14" spans="1:13" x14ac:dyDescent="0.25">
      <c r="A14" s="2" t="s">
        <v>10</v>
      </c>
      <c r="B14" s="7"/>
      <c r="C14" s="55">
        <f>SUM(C15:C16)</f>
        <v>103.38995014417569</v>
      </c>
      <c r="D14" s="55">
        <f>D15+D16</f>
        <v>106.08617287125875</v>
      </c>
      <c r="L14" s="3"/>
      <c r="M14" s="4"/>
    </row>
    <row r="15" spans="1:13" x14ac:dyDescent="0.25">
      <c r="A15" s="6"/>
      <c r="B15" s="6" t="s">
        <v>11</v>
      </c>
      <c r="C15" s="53">
        <f>+Datos!C16</f>
        <v>42.797186144175683</v>
      </c>
      <c r="D15" s="53">
        <f>C15*(1+Datos!C41)</f>
        <v>45.493408871258751</v>
      </c>
      <c r="E15" s="8" t="s">
        <v>109</v>
      </c>
      <c r="G15" s="45"/>
      <c r="L15" s="3"/>
      <c r="M15" s="4"/>
    </row>
    <row r="16" spans="1:13" x14ac:dyDescent="0.25">
      <c r="A16" s="6"/>
      <c r="B16" s="6" t="s">
        <v>12</v>
      </c>
      <c r="C16" s="53">
        <f>+Datos!C17</f>
        <v>60.592763999999995</v>
      </c>
      <c r="D16" s="53">
        <f>+C16*(1+Datos!C42)</f>
        <v>60.592763999999995</v>
      </c>
      <c r="E16" s="8" t="s">
        <v>110</v>
      </c>
      <c r="G16" s="45"/>
      <c r="L16" s="3"/>
      <c r="M16" s="4"/>
    </row>
    <row r="17" spans="1:13" x14ac:dyDescent="0.25">
      <c r="A17" s="2"/>
      <c r="B17" s="2" t="s">
        <v>13</v>
      </c>
      <c r="C17" s="52">
        <f>+C3+C6+C13+C14</f>
        <v>463.20365903430718</v>
      </c>
      <c r="D17" s="52">
        <f>+D3+D6+D13+D14</f>
        <v>488.91944528467786</v>
      </c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72</v>
      </c>
      <c r="D20" s="37">
        <f>+D17*4</f>
        <v>1955.6777811387115</v>
      </c>
      <c r="L20" s="3"/>
      <c r="M20" s="4"/>
    </row>
    <row r="21" spans="1:13" x14ac:dyDescent="0.25">
      <c r="D21" s="34"/>
    </row>
    <row r="22" spans="1:13" ht="15" customHeight="1" x14ac:dyDescent="0.25">
      <c r="A22" s="64" t="s">
        <v>14</v>
      </c>
      <c r="B22" s="63"/>
      <c r="C22" s="63"/>
      <c r="D22" s="35"/>
      <c r="E22" s="9"/>
      <c r="F22" s="9"/>
      <c r="G22" s="9"/>
    </row>
    <row r="23" spans="1:13" ht="15" customHeight="1" x14ac:dyDescent="0.25">
      <c r="A23" s="62" t="s">
        <v>15</v>
      </c>
      <c r="B23" s="63"/>
      <c r="C23" s="63"/>
      <c r="D23" s="10"/>
      <c r="E23" s="10"/>
      <c r="F23" s="10"/>
      <c r="G23" s="10"/>
    </row>
    <row r="24" spans="1:13" ht="15" customHeight="1" x14ac:dyDescent="0.25">
      <c r="A24" s="62" t="s">
        <v>16</v>
      </c>
      <c r="B24" s="63"/>
      <c r="C24" s="63"/>
      <c r="D24" s="10"/>
      <c r="E24" s="10"/>
      <c r="F24" s="10"/>
      <c r="G24" s="10"/>
    </row>
    <row r="25" spans="1:13" ht="30.75" customHeight="1" x14ac:dyDescent="0.25">
      <c r="A25" s="62" t="s">
        <v>17</v>
      </c>
      <c r="B25" s="63"/>
      <c r="C25" s="63"/>
      <c r="D25" s="10"/>
      <c r="E25" s="10"/>
      <c r="F25" s="10"/>
      <c r="G25" s="10"/>
    </row>
    <row r="26" spans="1:13" ht="15" customHeight="1" x14ac:dyDescent="0.25">
      <c r="A26" s="62" t="s">
        <v>18</v>
      </c>
      <c r="B26" s="63"/>
      <c r="C26" s="63"/>
      <c r="D26" s="10"/>
      <c r="E26" s="10"/>
      <c r="F26" s="10"/>
      <c r="G26" s="10"/>
    </row>
    <row r="27" spans="1:13" ht="15" customHeight="1" x14ac:dyDescent="0.25">
      <c r="A27" s="62" t="s">
        <v>19</v>
      </c>
      <c r="B27" s="63"/>
      <c r="C27" s="63"/>
      <c r="D27" s="10"/>
      <c r="E27" s="10"/>
      <c r="F27" s="10"/>
      <c r="G27" s="10"/>
    </row>
    <row r="28" spans="1:13" ht="15" customHeight="1" x14ac:dyDescent="0.25">
      <c r="A28" s="62" t="s">
        <v>20</v>
      </c>
      <c r="B28" s="63"/>
      <c r="C28" s="63"/>
      <c r="D28" s="10"/>
      <c r="E28" s="10"/>
      <c r="F28" s="10"/>
      <c r="G28" s="10"/>
    </row>
    <row r="29" spans="1:13" ht="15" customHeight="1" x14ac:dyDescent="0.25">
      <c r="A29" s="62" t="s">
        <v>21</v>
      </c>
      <c r="B29" s="63"/>
      <c r="C29" s="63"/>
      <c r="D29" s="10"/>
      <c r="E29" s="10"/>
      <c r="F29" s="10"/>
      <c r="G29" s="10"/>
    </row>
    <row r="30" spans="1:13" ht="16.5" customHeight="1" x14ac:dyDescent="0.25">
      <c r="A30" s="62" t="s">
        <v>22</v>
      </c>
      <c r="B30" s="63"/>
      <c r="C30" s="63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56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selection activeCell="G8" sqref="G8:J8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104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9">
        <v>730</v>
      </c>
      <c r="I6" s="23" t="s">
        <v>105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5"/>
      <c r="H8" s="66"/>
      <c r="I8" s="66"/>
      <c r="J8" s="67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60</v>
      </c>
      <c r="E10" s="26" t="s">
        <v>41</v>
      </c>
      <c r="F10" s="26">
        <f t="shared" ref="F10:F11" si="0">19282.5/2</f>
        <v>9641.25</v>
      </c>
      <c r="G10" s="27">
        <f>+Datos!C20</f>
        <v>4860</v>
      </c>
      <c r="H10" s="27">
        <f t="shared" ref="H10:H18" si="1">G10*F10/1000</f>
        <v>46856.474999999999</v>
      </c>
      <c r="I10" s="27">
        <f t="shared" ref="I10:I18" si="2">+H10/$H$6</f>
        <v>64.186952054794517</v>
      </c>
      <c r="J10" s="27">
        <f t="shared" ref="J10:J18" si="3">I10/2</f>
        <v>32.093476027397259</v>
      </c>
    </row>
    <row r="11" spans="1:13" x14ac:dyDescent="0.2">
      <c r="A11" s="18"/>
      <c r="B11" s="14"/>
      <c r="C11" s="14"/>
      <c r="D11" s="14" t="s">
        <v>61</v>
      </c>
      <c r="E11" s="26" t="s">
        <v>42</v>
      </c>
      <c r="F11" s="26">
        <f t="shared" si="0"/>
        <v>9641.25</v>
      </c>
      <c r="G11" s="27">
        <f>+Datos!C21</f>
        <v>6678</v>
      </c>
      <c r="H11" s="27">
        <f t="shared" si="1"/>
        <v>64384.267500000002</v>
      </c>
      <c r="I11" s="27">
        <f t="shared" si="2"/>
        <v>88.19762671232877</v>
      </c>
      <c r="J11" s="27">
        <f t="shared" si="3"/>
        <v>44.098813356164385</v>
      </c>
    </row>
    <row r="12" spans="1:13" x14ac:dyDescent="0.2">
      <c r="A12" s="18"/>
      <c r="B12" s="14"/>
      <c r="C12" s="14"/>
      <c r="D12" s="14" t="s">
        <v>62</v>
      </c>
      <c r="E12" s="26" t="s">
        <v>43</v>
      </c>
      <c r="F12" s="26">
        <v>3857.5</v>
      </c>
      <c r="G12" s="27">
        <f>+Datos!C22</f>
        <v>322</v>
      </c>
      <c r="H12" s="27">
        <f t="shared" si="1"/>
        <v>1242.115</v>
      </c>
      <c r="I12" s="27">
        <f t="shared" si="2"/>
        <v>1.701527397260274</v>
      </c>
      <c r="J12" s="27">
        <f t="shared" si="3"/>
        <v>0.85076369863013701</v>
      </c>
    </row>
    <row r="13" spans="1:13" x14ac:dyDescent="0.2">
      <c r="A13" s="18"/>
      <c r="B13" s="14"/>
      <c r="C13" s="14"/>
      <c r="D13" s="14" t="s">
        <v>63</v>
      </c>
      <c r="E13" s="26" t="s">
        <v>44</v>
      </c>
      <c r="F13" s="26">
        <v>61.5</v>
      </c>
      <c r="G13" s="27">
        <f>+Datos!C23</f>
        <v>18200</v>
      </c>
      <c r="H13" s="27">
        <f t="shared" si="1"/>
        <v>1119.3</v>
      </c>
      <c r="I13" s="27">
        <f t="shared" si="2"/>
        <v>1.5332876712328767</v>
      </c>
      <c r="J13" s="27">
        <f t="shared" si="3"/>
        <v>0.76664383561643834</v>
      </c>
    </row>
    <row r="14" spans="1:13" x14ac:dyDescent="0.2">
      <c r="A14" s="18"/>
      <c r="B14" s="14"/>
      <c r="C14" s="14"/>
      <c r="D14" s="14" t="s">
        <v>64</v>
      </c>
      <c r="E14" s="26" t="s">
        <v>45</v>
      </c>
      <c r="F14" s="26">
        <v>41.25</v>
      </c>
      <c r="G14" s="27">
        <f>+Datos!C24</f>
        <v>3404</v>
      </c>
      <c r="H14" s="27">
        <f t="shared" si="1"/>
        <v>140.41499999999999</v>
      </c>
      <c r="I14" s="27">
        <f t="shared" si="2"/>
        <v>0.19234931506849315</v>
      </c>
      <c r="J14" s="27">
        <f t="shared" si="3"/>
        <v>9.6174657534246574E-2</v>
      </c>
    </row>
    <row r="15" spans="1:13" x14ac:dyDescent="0.2">
      <c r="A15" s="18"/>
      <c r="B15" s="14"/>
      <c r="C15" s="14"/>
      <c r="D15" s="14" t="s">
        <v>65</v>
      </c>
      <c r="E15" s="26" t="s">
        <v>46</v>
      </c>
      <c r="F15" s="26">
        <v>900</v>
      </c>
      <c r="G15" s="27">
        <f>+Datos!C25</f>
        <v>794.14</v>
      </c>
      <c r="H15" s="27">
        <f t="shared" si="1"/>
        <v>714.726</v>
      </c>
      <c r="I15" s="27">
        <f t="shared" si="2"/>
        <v>0.97907671232876714</v>
      </c>
      <c r="J15" s="27">
        <f t="shared" si="3"/>
        <v>0.48953835616438357</v>
      </c>
    </row>
    <row r="16" spans="1:13" x14ac:dyDescent="0.2">
      <c r="A16" s="18"/>
      <c r="B16" s="14"/>
      <c r="C16" s="14"/>
      <c r="D16" s="14" t="s">
        <v>66</v>
      </c>
      <c r="E16" s="26" t="s">
        <v>47</v>
      </c>
      <c r="F16" s="26">
        <v>514.25</v>
      </c>
      <c r="G16" s="27">
        <f>+Datos!C26</f>
        <v>8892.75</v>
      </c>
      <c r="H16" s="27">
        <f t="shared" si="1"/>
        <v>4573.0966875000004</v>
      </c>
      <c r="I16" s="27">
        <f t="shared" si="2"/>
        <v>6.2645160102739732</v>
      </c>
      <c r="J16" s="27">
        <f t="shared" si="3"/>
        <v>3.1322580051369866</v>
      </c>
    </row>
    <row r="17" spans="1:13" x14ac:dyDescent="0.2">
      <c r="A17" s="18"/>
      <c r="B17" s="14"/>
      <c r="C17" s="14"/>
      <c r="D17" s="14" t="s">
        <v>67</v>
      </c>
      <c r="E17" s="26" t="s">
        <v>48</v>
      </c>
      <c r="F17" s="26">
        <v>52.06</v>
      </c>
      <c r="G17" s="27">
        <f>+Datos!C27*Datos!$C$19</f>
        <v>12145.125</v>
      </c>
      <c r="H17" s="27">
        <f t="shared" si="1"/>
        <v>632.27520749999996</v>
      </c>
      <c r="I17" s="27">
        <f t="shared" si="2"/>
        <v>0.86613042123287665</v>
      </c>
      <c r="J17" s="27">
        <f t="shared" si="3"/>
        <v>0.43306521061643832</v>
      </c>
    </row>
    <row r="18" spans="1:13" x14ac:dyDescent="0.2">
      <c r="A18" s="18"/>
      <c r="B18" s="14"/>
      <c r="C18" s="14"/>
      <c r="D18" s="14" t="s">
        <v>68</v>
      </c>
      <c r="E18" s="26" t="s">
        <v>49</v>
      </c>
      <c r="F18" s="26">
        <v>21.1</v>
      </c>
      <c r="G18" s="27">
        <f>+Datos!C28*Datos!$C$19</f>
        <v>14154.75</v>
      </c>
      <c r="H18" s="27">
        <f t="shared" si="1"/>
        <v>298.66522500000002</v>
      </c>
      <c r="I18" s="27">
        <f t="shared" si="2"/>
        <v>0.40913044520547948</v>
      </c>
      <c r="J18" s="27">
        <f t="shared" si="3"/>
        <v>0.20456522260273974</v>
      </c>
    </row>
    <row r="19" spans="1:13" ht="15.75" x14ac:dyDescent="0.25">
      <c r="A19" s="18"/>
      <c r="B19" s="14"/>
      <c r="C19" s="14"/>
      <c r="D19" s="14"/>
      <c r="E19" s="28" t="s">
        <v>50</v>
      </c>
      <c r="F19" s="28">
        <f>SUM(F10:F18)</f>
        <v>24730.16</v>
      </c>
      <c r="G19" s="29"/>
      <c r="H19" s="29">
        <f t="shared" ref="H19:J19" si="4">SUM(H10:H18)</f>
        <v>119961.33562</v>
      </c>
      <c r="I19" s="29">
        <f t="shared" si="4"/>
        <v>164.33059673972602</v>
      </c>
      <c r="J19" s="29">
        <f t="shared" si="4"/>
        <v>82.165298369863009</v>
      </c>
    </row>
    <row r="20" spans="1:13" ht="18" x14ac:dyDescent="0.25">
      <c r="A20" s="18"/>
      <c r="B20" s="14"/>
      <c r="C20" s="30"/>
      <c r="D20" s="14" t="s">
        <v>69</v>
      </c>
      <c r="E20" s="28" t="s">
        <v>51</v>
      </c>
      <c r="F20" s="28">
        <v>540000</v>
      </c>
      <c r="G20" s="31">
        <f>+Datos!C29</f>
        <v>166</v>
      </c>
      <c r="H20" s="31">
        <f>G20*F20/1000</f>
        <v>89640</v>
      </c>
      <c r="I20" s="31">
        <f>+H20/$H$6</f>
        <v>122.79452054794521</v>
      </c>
      <c r="J20" s="31">
        <f>I20/2</f>
        <v>61.397260273972606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52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53</v>
      </c>
      <c r="B23" s="14"/>
      <c r="C23" s="14"/>
      <c r="D23" s="68" t="s">
        <v>54</v>
      </c>
      <c r="E23" s="63"/>
      <c r="F23" s="63"/>
      <c r="G23" s="63"/>
      <c r="H23" s="63"/>
      <c r="I23" s="63"/>
      <c r="J23" s="63"/>
      <c r="K23" s="63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2023-02-14T17:51:38Z</dcterms:modified>
</cp:coreProperties>
</file>