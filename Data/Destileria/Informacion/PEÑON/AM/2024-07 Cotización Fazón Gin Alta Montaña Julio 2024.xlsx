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549D83F4-A94F-4477-A8F1-EC73D191FCE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C7" i="3"/>
  <c r="B5" i="3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l="1"/>
  <c r="D17" i="1" s="1"/>
  <c r="D20" i="1" l="1"/>
</calcChain>
</file>

<file path=xl/sharedStrings.xml><?xml version="1.0" encoding="utf-8"?>
<sst xmlns="http://schemas.openxmlformats.org/spreadsheetml/2006/main" count="157" uniqueCount="121">
  <si>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</si>
  <si>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</si>
  <si>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</si>
  <si>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</si>
  <si>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</si>
  <si>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</si>
  <si>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</si>
  <si>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</si>
  <si>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</si>
  <si>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</si>
  <si>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</si>
  <si>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</si>
  <si>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</si>
  <si>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</si>
  <si>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</si>
  <si>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</si>
  <si>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</si>
  <si>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</si>
  <si>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</si>
  <si>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</si>
  <si>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</si>
  <si>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</si>
  <si>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</si>
  <si>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</si>
  <si>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</si>
  <si>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</si>
  <si>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</si>
  <si>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</si>
  <si>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</si>
  <si>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</si>
  <si>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</si>
  <si>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</si>
  <si>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</si>
  <si>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</si>
  <si>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</si>
  <si>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</si>
  <si>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</si>
  <si>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</si>
  <si>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</si>
  <si>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</si>
  <si>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</si>
  <si>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</si>
  <si>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</si>
  <si>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</si>
  <si>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</si>
  <si>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</si>
  <si>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</si>
  <si>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</si>
  <si>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</si>
  <si>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</si>
  <si>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</si>
  <si>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</si>
  <si>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</si>
  <si>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</si>
  <si>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</si>
  <si>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</si>
  <si>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</si>
  <si>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</si>
  <si>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</si>
  <si>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</si>
  <si>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</si>
  <si>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</si>
  <si>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</si>
  <si>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</si>
  <si>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</si>
  <si>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</si>
  <si>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</si>
  <si>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</si>
  <si>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</si>
  <si>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</si>
  <si>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</si>
  <si>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</si>
  <si>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</si>
  <si>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</si>
  <si>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</si>
  <si>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</si>
  <si>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</si>
  <si>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</si>
  <si>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</si>
  <si>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</si>
  <si>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</si>
  <si>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</si>
  <si>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</si>
  <si>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</si>
  <si>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</si>
  <si>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</si>
  <si>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</si>
  <si>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</si>
  <si>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</si>
  <si>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</si>
  <si>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</si>
  <si>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</si>
  <si>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</si>
  <si>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</si>
  <si>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</si>
  <si>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</si>
  <si>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</si>
  <si>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</si>
  <si>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</si>
  <si>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</si>
  <si>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</si>
  <si>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</si>
  <si>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</si>
  <si>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</si>
  <si>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</si>
  <si>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</si>
  <si>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</si>
  <si>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</si>
  <si>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</si>
  <si>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</si>
  <si>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</si>
  <si>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</si>
  <si>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</si>
  <si>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</si>
  <si>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PEÑON-MULTICAJAS SA desde 13-11-2023</t>
  </si>
  <si>
    <t>* Febrero Dto 12% respecto a Enero - baja costos / resignación de margen fasonado</t>
  </si>
  <si>
    <t>* 05-01</t>
  </si>
  <si>
    <t>* 09-01</t>
  </si>
  <si>
    <t>*05-03</t>
  </si>
  <si>
    <t>Quimes</t>
  </si>
  <si>
    <t>*Mayo-Junio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</si>
</sst>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5" fillId="0" borderId="0" xfId="0" applyNumberFormat="1" applyFont="1"/>
    <xf numFmtId="10" fontId="28" fillId="0" borderId="0" xfId="0" applyNumberFormat="1" applyFont="1"/>
    <xf numFmtId="168" fontId="28" fillId="0" borderId="0" xfId="1" applyNumberFormat="1" applyFont="1" applyFill="1" applyAlignment="1"/>
    <xf numFmtId="14" fontId="15" fillId="0" borderId="0" xfId="0" applyNumberFormat="1" applyFo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4"/>
  <sheetViews>
    <sheetView topLeftCell="A12" workbookViewId="0">
      <selection activeCell="D28" sqref="D28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45481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45481</v>
      </c>
      <c r="C5" s="45">
        <v>936.5</v>
      </c>
      <c r="D5" s="39"/>
    </row>
    <row r="6" spans="1:6" x14ac:dyDescent="0.2">
      <c r="A6" s="52" t="s">
        <v>59</v>
      </c>
      <c r="B6" s="52" t="s">
        <v>41</v>
      </c>
      <c r="C6" s="54">
        <v>14290.88</v>
      </c>
      <c r="D6" s="61" t="s">
        <v>103</v>
      </c>
      <c r="E6" s="52"/>
      <c r="F6" s="69">
        <v>45481</v>
      </c>
    </row>
    <row r="7" spans="1:6" x14ac:dyDescent="0.2">
      <c r="A7" s="52" t="s">
        <v>112</v>
      </c>
      <c r="B7" s="52" t="s">
        <v>99</v>
      </c>
      <c r="C7" s="54">
        <f>53.5</f>
        <v>53.5</v>
      </c>
      <c r="D7" s="61"/>
      <c r="E7" s="52" t="s">
        <v>105</v>
      </c>
      <c r="F7" s="52" t="s">
        <v>116</v>
      </c>
    </row>
    <row r="8" spans="1:6" x14ac:dyDescent="0.2">
      <c r="A8" s="52" t="s">
        <v>60</v>
      </c>
      <c r="B8" s="52" t="s">
        <v>42</v>
      </c>
      <c r="C8" s="54">
        <v>1711.15</v>
      </c>
      <c r="D8" s="61"/>
      <c r="E8" s="52" t="s">
        <v>106</v>
      </c>
      <c r="F8" s="52" t="s">
        <v>117</v>
      </c>
    </row>
    <row r="9" spans="1:6" x14ac:dyDescent="0.2">
      <c r="A9" s="52" t="s">
        <v>61</v>
      </c>
      <c r="B9" s="52" t="s">
        <v>43</v>
      </c>
      <c r="C9" s="54">
        <v>38796</v>
      </c>
      <c r="D9" s="61"/>
      <c r="E9" s="52" t="s">
        <v>106</v>
      </c>
      <c r="F9" s="52" t="s">
        <v>117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1"/>
      <c r="E10" s="52" t="s">
        <v>106</v>
      </c>
      <c r="F10" s="52" t="s">
        <v>117</v>
      </c>
    </row>
    <row r="11" spans="1:6" x14ac:dyDescent="0.2">
      <c r="A11" s="52" t="s">
        <v>63</v>
      </c>
      <c r="B11" s="52" t="s">
        <v>45</v>
      </c>
      <c r="C11" s="54">
        <v>6904.4</v>
      </c>
      <c r="D11" s="61"/>
      <c r="E11" s="52" t="s">
        <v>106</v>
      </c>
      <c r="F11" s="52" t="s">
        <v>118</v>
      </c>
    </row>
    <row r="12" spans="1:6" x14ac:dyDescent="0.2">
      <c r="A12" s="52" t="s">
        <v>64</v>
      </c>
      <c r="B12" s="52" t="s">
        <v>46</v>
      </c>
      <c r="C12" s="54">
        <v>16596.59</v>
      </c>
      <c r="D12" s="61" t="s">
        <v>103</v>
      </c>
      <c r="E12" s="52"/>
      <c r="F12" s="69">
        <v>45481</v>
      </c>
    </row>
    <row r="13" spans="1:6" x14ac:dyDescent="0.2">
      <c r="A13" s="52" t="s">
        <v>65</v>
      </c>
      <c r="B13" s="52" t="s">
        <v>47</v>
      </c>
      <c r="C13" s="54">
        <v>80.5</v>
      </c>
      <c r="D13" s="61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1"/>
      <c r="E14" s="52"/>
      <c r="F14" s="52"/>
    </row>
    <row r="15" spans="1:6" x14ac:dyDescent="0.2">
      <c r="A15" s="52" t="s">
        <v>67</v>
      </c>
      <c r="B15" s="52" t="s">
        <v>50</v>
      </c>
      <c r="C15" s="62">
        <v>760</v>
      </c>
      <c r="D15" s="61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4010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495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22.87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12.829329081632654</v>
      </c>
      <c r="D21" s="52"/>
      <c r="E21" s="52"/>
      <c r="F21" s="52"/>
    </row>
    <row r="22" spans="1:10" x14ac:dyDescent="0.2">
      <c r="A22" s="63" t="s">
        <v>68</v>
      </c>
      <c r="B22" s="63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3" t="s">
        <v>101</v>
      </c>
      <c r="B23" s="63" t="s">
        <v>7</v>
      </c>
      <c r="C23" s="54">
        <v>27.55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351.05</v>
      </c>
      <c r="D24" s="52" t="s">
        <v>104</v>
      </c>
      <c r="E24" s="52"/>
      <c r="F24" s="52"/>
    </row>
    <row r="25" spans="1:10" x14ac:dyDescent="0.2">
      <c r="A25" s="63" t="s">
        <v>76</v>
      </c>
      <c r="B25" s="63" t="s">
        <v>78</v>
      </c>
      <c r="C25" s="62">
        <v>499</v>
      </c>
      <c r="D25" s="52" t="s">
        <v>92</v>
      </c>
      <c r="E25" s="52" t="s">
        <v>114</v>
      </c>
      <c r="F25" s="52"/>
      <c r="I25" t="s">
        <v>119</v>
      </c>
      <c r="J25" s="64">
        <v>98.93</v>
      </c>
    </row>
    <row r="26" spans="1:10" s="52" customFormat="1" x14ac:dyDescent="0.2">
      <c r="A26" s="63" t="s">
        <v>77</v>
      </c>
      <c r="B26" s="63" t="s">
        <v>79</v>
      </c>
      <c r="C26" s="54">
        <v>98.93</v>
      </c>
      <c r="D26" s="52" t="s">
        <v>95</v>
      </c>
      <c r="E26" s="52" t="s">
        <v>114</v>
      </c>
      <c r="J26" s="65">
        <v>81.430000000000007</v>
      </c>
    </row>
    <row r="27" spans="1:10" ht="15" x14ac:dyDescent="0.25">
      <c r="A27" s="39" t="s">
        <v>74</v>
      </c>
      <c r="C27" s="67">
        <v>9.1999999999999998E-2</v>
      </c>
      <c r="D27" s="33" t="s">
        <v>120</v>
      </c>
    </row>
    <row r="28" spans="1:10" ht="15" x14ac:dyDescent="0.25">
      <c r="A28" s="39" t="s">
        <v>75</v>
      </c>
      <c r="C28" s="68">
        <v>1.1599999999999999</v>
      </c>
      <c r="D28" s="33" t="s">
        <v>120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  <row r="34" spans="1:1" x14ac:dyDescent="0.2">
      <c r="A34" t="s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8" workbookViewId="0">
      <selection activeCell="F16" sqref="F16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5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0"/>
      <c r="H8" s="71"/>
      <c r="I8" s="71"/>
      <c r="J8" s="72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14290.88</v>
      </c>
      <c r="H10" s="27">
        <f>G10*F10/$H$6</f>
        <v>188742.39287671231</v>
      </c>
      <c r="I10" s="27">
        <f t="shared" ref="I10:I18" si="1">+H10/$H$6</f>
        <v>258.55122311878398</v>
      </c>
      <c r="J10" s="27">
        <f t="shared" ref="J10:J18" si="2">I10/2</f>
        <v>129.27561155939199</v>
      </c>
    </row>
    <row r="11" spans="1:13" ht="15.75" x14ac:dyDescent="0.25">
      <c r="A11" s="18"/>
      <c r="B11" s="14"/>
      <c r="C11" s="14"/>
      <c r="D11" s="56" t="s">
        <v>100</v>
      </c>
      <c r="E11" s="57" t="s">
        <v>99</v>
      </c>
      <c r="F11" s="26">
        <f t="shared" si="0"/>
        <v>9641.25</v>
      </c>
      <c r="G11" s="27">
        <f>+DATOS!C7*DATOS!$C$5</f>
        <v>50102.75</v>
      </c>
      <c r="H11" s="27">
        <f t="shared" ref="H11:H20" si="3">G11*F11/$H$6</f>
        <v>661716.62799657532</v>
      </c>
      <c r="I11" s="27">
        <f t="shared" si="1"/>
        <v>906.461134241884</v>
      </c>
      <c r="J11" s="27">
        <f t="shared" si="2"/>
        <v>453.230567120942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1711.15</v>
      </c>
      <c r="H12" s="27">
        <f t="shared" si="3"/>
        <v>9042.138527397261</v>
      </c>
      <c r="I12" s="27">
        <f t="shared" si="1"/>
        <v>12.386491133420906</v>
      </c>
      <c r="J12" s="27">
        <f t="shared" si="2"/>
        <v>6.1932455667104529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75388.25</v>
      </c>
      <c r="H17" s="27">
        <f t="shared" si="3"/>
        <v>5376.3182123287679</v>
      </c>
      <c r="I17" s="27">
        <f t="shared" si="1"/>
        <v>7.3648194689435176</v>
      </c>
      <c r="J17" s="27">
        <f t="shared" si="2"/>
        <v>3.6824097344717588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220077.5</v>
      </c>
      <c r="H18" s="27">
        <f t="shared" si="3"/>
        <v>6361.1441780821915</v>
      </c>
      <c r="I18" s="27">
        <f t="shared" si="1"/>
        <v>8.7138961343591657</v>
      </c>
      <c r="J18" s="27">
        <f t="shared" si="2"/>
        <v>4.3569480671795828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896694.45556849323</v>
      </c>
      <c r="I19" s="29">
        <f t="shared" si="4"/>
        <v>1228.3485692719082</v>
      </c>
      <c r="J19" s="29">
        <f t="shared" si="4"/>
        <v>614.17428463595411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760</v>
      </c>
      <c r="H20" s="31">
        <f t="shared" si="3"/>
        <v>562191.78082191781</v>
      </c>
      <c r="I20" s="31">
        <f>+H20/$H$6</f>
        <v>770.12572715331203</v>
      </c>
      <c r="J20" s="31">
        <f>I20/2</f>
        <v>385.06286357665601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3" t="s">
        <v>53</v>
      </c>
      <c r="E23" s="74"/>
      <c r="F23" s="74"/>
      <c r="G23" s="74"/>
      <c r="H23" s="74"/>
      <c r="I23" s="74"/>
      <c r="J23" s="74"/>
      <c r="K23" s="74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E19" sqref="E19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45420</v>
      </c>
      <c r="D2" s="38">
        <f>+DATOS!C2</f>
        <v>45481</v>
      </c>
    </row>
    <row r="3" spans="1:13" x14ac:dyDescent="0.25">
      <c r="A3" s="2" t="s">
        <v>54</v>
      </c>
      <c r="B3" s="2"/>
      <c r="C3" s="47">
        <v>932.44273856023619</v>
      </c>
      <c r="D3" s="47">
        <f>D4+D5</f>
        <v>999.23714821261012</v>
      </c>
      <c r="E3" s="8"/>
      <c r="L3" s="3"/>
      <c r="M3" s="4"/>
    </row>
    <row r="4" spans="1:13" x14ac:dyDescent="0.25">
      <c r="A4" s="5"/>
      <c r="B4" s="6" t="s">
        <v>1</v>
      </c>
      <c r="C4" s="49">
        <v>385.06286357665601</v>
      </c>
      <c r="D4" s="48">
        <f>Insumos!J20</f>
        <v>385.06286357665601</v>
      </c>
      <c r="E4" s="8"/>
      <c r="L4" s="3"/>
      <c r="M4" s="4"/>
    </row>
    <row r="5" spans="1:13" x14ac:dyDescent="0.25">
      <c r="A5" s="6"/>
      <c r="B5" s="6" t="s">
        <v>2</v>
      </c>
      <c r="C5" s="49">
        <v>547.37987498358018</v>
      </c>
      <c r="D5" s="49">
        <f>+Insumos!J19</f>
        <v>614.17428463595411</v>
      </c>
      <c r="E5" s="8"/>
      <c r="L5" s="3"/>
      <c r="M5" s="4"/>
    </row>
    <row r="6" spans="1:13" x14ac:dyDescent="0.25">
      <c r="A6" s="2" t="s">
        <v>3</v>
      </c>
      <c r="B6" s="2"/>
      <c r="C6" s="47">
        <v>890.91290051020405</v>
      </c>
      <c r="D6" s="47">
        <f>D7+D8+D9+D10+D11+D12</f>
        <v>913.5293290816328</v>
      </c>
      <c r="E6" s="66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10.127900510204082</v>
      </c>
      <c r="D8" s="48">
        <f>+DATOS!C21</f>
        <v>12.829329081632654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355.30250000000001</v>
      </c>
      <c r="D9" s="48">
        <f>+DATOS!C22*DATOS!C5</f>
        <v>369.91750000000002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27.55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351.05</v>
      </c>
      <c r="D11" s="48">
        <f>+DATOS!C24</f>
        <v>351.05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149.48250000000002</v>
      </c>
      <c r="D12" s="48">
        <f>+(DATOS!C25+DATOS!C26)/4</f>
        <v>149.48250000000002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364.67112781408809</v>
      </c>
      <c r="D13" s="47">
        <f>+(D3+D6)*$B$13</f>
        <v>382.55329545884865</v>
      </c>
      <c r="G13" s="44"/>
      <c r="L13" s="37"/>
      <c r="M13" s="40"/>
    </row>
    <row r="14" spans="1:13" x14ac:dyDescent="0.25">
      <c r="A14" s="2" t="s">
        <v>10</v>
      </c>
      <c r="B14" s="7"/>
      <c r="C14" s="50">
        <v>653.86985795360999</v>
      </c>
      <c r="D14" s="50">
        <f>D15+D16</f>
        <v>734.79775988534209</v>
      </c>
      <c r="L14" s="3"/>
      <c r="M14" s="4"/>
    </row>
    <row r="15" spans="1:13" x14ac:dyDescent="0.25">
      <c r="A15" s="6"/>
      <c r="B15" s="6" t="s">
        <v>11</v>
      </c>
      <c r="C15" s="49">
        <v>348.40110795360999</v>
      </c>
      <c r="D15" s="60">
        <f>+C15+C15*DATOS!C27</f>
        <v>380.45400988534209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305.46875</v>
      </c>
      <c r="D16" s="48">
        <f>+C16*DATOS!C28</f>
        <v>354.34375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59">
        <v>2841.896624838138</v>
      </c>
      <c r="D17" s="47">
        <f>+D3+D6+D13+D14</f>
        <v>3030.1175326384337</v>
      </c>
      <c r="E17" s="58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12120.470130553735</v>
      </c>
      <c r="L20" s="3"/>
      <c r="M20" s="4"/>
    </row>
    <row r="21" spans="1:13" x14ac:dyDescent="0.25">
      <c r="D21" s="34"/>
    </row>
    <row r="22" spans="1:13" ht="15" customHeight="1" x14ac:dyDescent="0.25">
      <c r="A22" s="76" t="s">
        <v>14</v>
      </c>
      <c r="B22" s="74"/>
      <c r="C22" s="74"/>
      <c r="D22" s="35"/>
      <c r="E22" s="9"/>
      <c r="F22" s="9"/>
      <c r="G22" s="9"/>
    </row>
    <row r="23" spans="1:13" ht="15" customHeight="1" x14ac:dyDescent="0.25">
      <c r="A23" s="75" t="s">
        <v>15</v>
      </c>
      <c r="B23" s="74"/>
      <c r="C23" s="74"/>
      <c r="D23" s="10"/>
      <c r="E23" s="10"/>
      <c r="F23" s="10"/>
      <c r="G23" s="10"/>
    </row>
    <row r="24" spans="1:13" ht="15" customHeight="1" x14ac:dyDescent="0.25">
      <c r="A24" s="75" t="s">
        <v>16</v>
      </c>
      <c r="B24" s="74"/>
      <c r="C24" s="74"/>
      <c r="D24" s="10"/>
      <c r="E24" s="10"/>
      <c r="F24" s="10"/>
      <c r="G24" s="10"/>
    </row>
    <row r="25" spans="1:13" ht="30.75" customHeight="1" x14ac:dyDescent="0.25">
      <c r="A25" s="75" t="s">
        <v>17</v>
      </c>
      <c r="B25" s="74"/>
      <c r="C25" s="74"/>
      <c r="D25" s="10"/>
      <c r="E25" s="10"/>
      <c r="F25" s="10"/>
      <c r="G25" s="10"/>
    </row>
    <row r="26" spans="1:13" ht="15" customHeight="1" x14ac:dyDescent="0.25">
      <c r="A26" s="75" t="s">
        <v>18</v>
      </c>
      <c r="B26" s="74"/>
      <c r="C26" s="74"/>
      <c r="D26" s="10"/>
      <c r="E26" s="10"/>
      <c r="F26" s="10"/>
      <c r="G26" s="10"/>
    </row>
    <row r="27" spans="1:13" ht="15" customHeight="1" x14ac:dyDescent="0.25">
      <c r="A27" s="75" t="s">
        <v>19</v>
      </c>
      <c r="B27" s="74"/>
      <c r="C27" s="74"/>
      <c r="D27" s="10"/>
      <c r="E27" s="10"/>
      <c r="F27" s="10"/>
      <c r="G27" s="10"/>
    </row>
    <row r="28" spans="1:13" ht="15" customHeight="1" x14ac:dyDescent="0.25">
      <c r="A28" s="75" t="s">
        <v>20</v>
      </c>
      <c r="B28" s="74"/>
      <c r="C28" s="74"/>
      <c r="D28" s="10"/>
      <c r="E28" s="10"/>
      <c r="F28" s="10"/>
      <c r="G28" s="10"/>
    </row>
    <row r="29" spans="1:13" ht="15" customHeight="1" x14ac:dyDescent="0.25">
      <c r="A29" s="75" t="s">
        <v>21</v>
      </c>
      <c r="B29" s="74"/>
      <c r="C29" s="74"/>
      <c r="D29" s="10"/>
      <c r="E29" s="10"/>
      <c r="F29" s="10"/>
      <c r="G29" s="10"/>
    </row>
    <row r="30" spans="1:13" ht="16.5" customHeight="1" x14ac:dyDescent="0.25">
      <c r="A30" s="75" t="s">
        <v>22</v>
      </c>
      <c r="B30" s="74"/>
      <c r="C30" s="74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2024-07-08T19:48:04Z</dcterms:modified>
</cp:coreProperties>
</file>