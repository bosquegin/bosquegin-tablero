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AM\"/>
    </mc:Choice>
  </mc:AlternateContent>
  <xr:revisionPtr revIDLastSave="0" documentId="13_ncr:1_{F6A24AA2-6E4E-4725-A31A-5A6356AF157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3" r:id="rId1"/>
    <sheet name="Costeo" sheetId="1" r:id="rId2"/>
    <sheet name="Insumos" sheetId="2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G40" i="3" l="1"/>
  <c r="G39" i="3"/>
  <c r="E20" i="1"/>
  <c r="C17" i="1"/>
  <c r="C2" i="1"/>
  <c r="C35" i="3"/>
  <c r="D16" i="1" l="1"/>
  <c r="D15" i="1"/>
  <c r="D12" i="1"/>
  <c r="D11" i="1"/>
  <c r="D10" i="1"/>
  <c r="D9" i="1"/>
  <c r="D7" i="1"/>
  <c r="G11" i="2"/>
  <c r="G10" i="2"/>
  <c r="D8" i="1"/>
  <c r="G20" i="2"/>
  <c r="G18" i="2"/>
  <c r="G17" i="2"/>
  <c r="G16" i="2"/>
  <c r="G15" i="2"/>
  <c r="G14" i="2"/>
  <c r="G13" i="2"/>
  <c r="G12" i="2"/>
  <c r="D2" i="1"/>
  <c r="D14" i="1" l="1"/>
  <c r="D6" i="1"/>
  <c r="H20" i="2"/>
  <c r="I20" i="2" s="1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D5" i="1" s="1"/>
  <c r="D3" i="1" s="1"/>
  <c r="D13" i="1" s="1"/>
  <c r="I19" i="2"/>
  <c r="D17" i="1" l="1"/>
  <c r="D20" i="1" s="1"/>
</calcChain>
</file>

<file path=xl/sharedStrings.xml><?xml version="1.0" encoding="utf-8"?>
<sst xmlns="http://schemas.openxmlformats.org/spreadsheetml/2006/main" count="141" uniqueCount="111">
  <si>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</si>
  <si>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</si>
  <si>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</si>
  <si>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</si>
  <si>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</si>
  <si>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</si>
  <si>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</si>
  <si>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</si>
  <si>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</si>
  <si>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</si>
  <si>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</si>
  <si>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</si>
  <si>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</si>
  <si>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</si>
  <si>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</si>
  <si>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</si>
  <si>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</si>
  <si>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</si>
  <si>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</si>
  <si>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</si>
  <si>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</si>
  <si>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</si>
  <si>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</si>
  <si>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</si>
  <si>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</si>
  <si>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</si>
  <si>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</si>
  <si>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</si>
  <si>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</si>
  <si>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</si>
  <si>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</si>
  <si>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</si>
  <si>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</si>
  <si>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</si>
  <si>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</si>
  <si>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</si>
  <si>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</si>
  <si>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</si>
  <si>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</si>
  <si>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</si>
  <si>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</si>
  <si>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</si>
  <si>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</si>
  <si>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</si>
  <si>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</si>
  <si>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</si>
  <si>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</si>
  <si>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</si>
  <si>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</si>
  <si>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</si>
  <si>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</si>
  <si>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</si>
  <si>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</si>
  <si>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</si>
  <si>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</si>
  <si>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</si>
  <si>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</si>
  <si>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</si>
  <si>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</si>
  <si>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</si>
  <si>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</si>
  <si>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</si>
  <si>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</si>
  <si>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</si>
  <si>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</si>
  <si>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</si>
  <si>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</si>
  <si>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</si>
  <si>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</si>
  <si>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</si>
  <si>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</si>
  <si>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</si>
  <si>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</si>
  <si>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* aumento 18% sueldos Julio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</si>
  <si>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</si>
  <si>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</si>
  <si>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</si>
  <si>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</si>
  <si>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</si>
  <si>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</si>
  <si>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</si>
  <si>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*7,4% inflación indec (Julio)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</si>
  <si>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</si>
  <si>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</si>
  <si>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</si>
  <si>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</si>
  <si>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</si>
  <si>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</si>
  <si>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</si>
  <si>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</si>
  <si>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</si>
  <si>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</si>
  <si>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</si>
  <si>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</si>
  <si>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</si>
  <si>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</si>
  <si>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</si>
  <si>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</si>
  <si>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</si>
  <si>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</si>
  <si>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</si>
  <si>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</si>
  <si>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</si>
  <si>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</si>
  <si>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</si>
  <si>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</si>
  <si>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Gin Bosque Alta Montaña</t>
  </si>
  <si>
    <t>Gin terminado (53%)</t>
  </si>
  <si>
    <t>* Ej. Al 30/09 - tomar Agosto</t>
  </si>
  <si>
    <t>*</t>
  </si>
  <si>
    <t>* Aumento Septiembre 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</si>
</sst>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</numFmts>
  <fonts count="2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166" fontId="2" fillId="0" borderId="1" xfId="0" applyNumberFormat="1" applyFont="1" applyBorder="1"/>
    <xf numFmtId="166" fontId="1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10" fontId="0" fillId="2" borderId="0" xfId="0" applyNumberFormat="1" applyFill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2" fillId="2" borderId="0" xfId="1" applyFont="1" applyFill="1" applyAlignme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5" fillId="2" borderId="0" xfId="1" applyFont="1" applyFill="1" applyAlignment="1"/>
    <xf numFmtId="0" fontId="13" fillId="2" borderId="1" xfId="0" applyFont="1" applyFill="1" applyBorder="1"/>
    <xf numFmtId="43" fontId="19" fillId="0" borderId="0" xfId="1" applyFont="1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G42"/>
  <sheetViews>
    <sheetView topLeftCell="A21" workbookViewId="0">
      <selection activeCell="G40" sqref="G40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76</v>
      </c>
      <c r="D1" t="s">
        <v>77</v>
      </c>
    </row>
    <row r="2" spans="1:4" ht="15" x14ac:dyDescent="0.25">
      <c r="A2" s="44" t="s">
        <v>75</v>
      </c>
      <c r="C2" s="49">
        <v>44835</v>
      </c>
      <c r="D2" s="49">
        <v>44866</v>
      </c>
    </row>
    <row r="3" spans="1:4" x14ac:dyDescent="0.2">
      <c r="C3" s="46"/>
      <c r="D3" s="46"/>
    </row>
    <row r="4" spans="1:4" x14ac:dyDescent="0.2">
      <c r="A4" s="66" t="s">
        <v>78</v>
      </c>
      <c r="B4" s="66"/>
      <c r="C4" s="48">
        <v>134.70757627054792</v>
      </c>
    </row>
    <row r="5" spans="1:4" x14ac:dyDescent="0.2">
      <c r="A5" s="38" t="s">
        <v>105</v>
      </c>
      <c r="C5" s="48">
        <v>55.109589041095887</v>
      </c>
    </row>
    <row r="6" spans="1:4" x14ac:dyDescent="0.2">
      <c r="C6" s="48">
        <v>79.597987229452045</v>
      </c>
    </row>
    <row r="7" spans="1:4" x14ac:dyDescent="0.2">
      <c r="C7" s="48">
        <v>164.9844642857143</v>
      </c>
    </row>
    <row r="8" spans="1:4" x14ac:dyDescent="0.2">
      <c r="C8" s="48">
        <v>0.95</v>
      </c>
    </row>
    <row r="9" spans="1:4" x14ac:dyDescent="0.2">
      <c r="C9" s="48">
        <v>5.1144642857142859</v>
      </c>
    </row>
    <row r="10" spans="1:4" x14ac:dyDescent="0.2">
      <c r="C10" s="48">
        <v>50.7</v>
      </c>
    </row>
    <row r="11" spans="1:4" x14ac:dyDescent="0.2">
      <c r="C11" s="48">
        <v>20.6</v>
      </c>
    </row>
    <row r="12" spans="1:4" x14ac:dyDescent="0.2">
      <c r="C12" s="48">
        <v>66.37</v>
      </c>
    </row>
    <row r="13" spans="1:4" x14ac:dyDescent="0.2">
      <c r="C13" s="48">
        <v>21.25</v>
      </c>
    </row>
    <row r="14" spans="1:4" x14ac:dyDescent="0.2">
      <c r="C14" s="48">
        <v>59.938408111252443</v>
      </c>
    </row>
    <row r="15" spans="1:4" x14ac:dyDescent="0.2">
      <c r="C15" s="48">
        <v>92.785775493660992</v>
      </c>
    </row>
    <row r="16" spans="1:4" x14ac:dyDescent="0.2">
      <c r="C16" s="48">
        <v>43.119575493660996</v>
      </c>
    </row>
    <row r="17" spans="1:4" x14ac:dyDescent="0.2">
      <c r="C17" s="48">
        <v>49.666199999999996</v>
      </c>
    </row>
    <row r="19" spans="1:4" ht="15" x14ac:dyDescent="0.25">
      <c r="A19" s="44" t="s">
        <v>79</v>
      </c>
      <c r="B19" s="61">
        <v>44872</v>
      </c>
      <c r="C19" s="54">
        <v>164.5</v>
      </c>
      <c r="D19" s="44"/>
    </row>
    <row r="20" spans="1:4" x14ac:dyDescent="0.2">
      <c r="A20" t="s">
        <v>60</v>
      </c>
      <c r="B20" t="s">
        <v>41</v>
      </c>
      <c r="C20" s="53">
        <v>4860</v>
      </c>
      <c r="D20" s="48"/>
    </row>
    <row r="21" spans="1:4" x14ac:dyDescent="0.2">
      <c r="A21" t="s">
        <v>61</v>
      </c>
      <c r="B21" t="s">
        <v>42</v>
      </c>
      <c r="C21" s="53">
        <v>6300</v>
      </c>
      <c r="D21" s="48"/>
    </row>
    <row r="22" spans="1:4" x14ac:dyDescent="0.2">
      <c r="A22" t="s">
        <v>62</v>
      </c>
      <c r="B22" t="s">
        <v>43</v>
      </c>
      <c r="C22" s="53">
        <v>322</v>
      </c>
      <c r="D22" s="48"/>
    </row>
    <row r="23" spans="1:4" x14ac:dyDescent="0.2">
      <c r="A23" t="s">
        <v>63</v>
      </c>
      <c r="B23" t="s">
        <v>44</v>
      </c>
      <c r="C23" s="53">
        <v>18200</v>
      </c>
      <c r="D23" s="48"/>
    </row>
    <row r="24" spans="1:4" x14ac:dyDescent="0.2">
      <c r="A24" t="s">
        <v>64</v>
      </c>
      <c r="B24" t="s">
        <v>45</v>
      </c>
      <c r="C24" s="53">
        <v>3404</v>
      </c>
      <c r="D24" s="48"/>
    </row>
    <row r="25" spans="1:4" x14ac:dyDescent="0.2">
      <c r="A25" t="s">
        <v>65</v>
      </c>
      <c r="B25" t="s">
        <v>46</v>
      </c>
      <c r="C25" s="53">
        <v>794.14</v>
      </c>
      <c r="D25" s="48"/>
    </row>
    <row r="26" spans="1:4" x14ac:dyDescent="0.2">
      <c r="A26" t="s">
        <v>66</v>
      </c>
      <c r="B26" t="s">
        <v>47</v>
      </c>
      <c r="C26" s="53">
        <v>8892.75</v>
      </c>
      <c r="D26" s="48"/>
    </row>
    <row r="27" spans="1:4" x14ac:dyDescent="0.2">
      <c r="A27" t="s">
        <v>67</v>
      </c>
      <c r="B27" t="s">
        <v>48</v>
      </c>
      <c r="C27" s="53">
        <v>69.5</v>
      </c>
      <c r="D27" s="48"/>
    </row>
    <row r="28" spans="1:4" x14ac:dyDescent="0.2">
      <c r="A28" t="s">
        <v>68</v>
      </c>
      <c r="B28" t="s">
        <v>49</v>
      </c>
      <c r="C28" s="53">
        <v>81</v>
      </c>
      <c r="D28" s="48"/>
    </row>
    <row r="29" spans="1:4" x14ac:dyDescent="0.2">
      <c r="A29" t="s">
        <v>69</v>
      </c>
      <c r="B29" t="s">
        <v>51</v>
      </c>
      <c r="C29" s="53">
        <v>149</v>
      </c>
      <c r="D29" s="65" t="s">
        <v>109</v>
      </c>
    </row>
    <row r="30" spans="1:4" x14ac:dyDescent="0.2">
      <c r="A30" t="s">
        <v>87</v>
      </c>
      <c r="B30" t="s">
        <v>4</v>
      </c>
      <c r="C30" s="53">
        <v>0.95</v>
      </c>
    </row>
    <row r="31" spans="1:4" x14ac:dyDescent="0.2">
      <c r="A31" s="38" t="s">
        <v>96</v>
      </c>
      <c r="B31" t="s">
        <v>88</v>
      </c>
      <c r="C31" s="53">
        <v>1067</v>
      </c>
      <c r="D31" s="38" t="s">
        <v>95</v>
      </c>
    </row>
    <row r="32" spans="1:4" x14ac:dyDescent="0.2">
      <c r="A32" s="38" t="s">
        <v>91</v>
      </c>
      <c r="B32" t="s">
        <v>89</v>
      </c>
      <c r="C32" s="53">
        <v>115</v>
      </c>
      <c r="D32" s="38" t="s">
        <v>93</v>
      </c>
    </row>
    <row r="33" spans="1:7" x14ac:dyDescent="0.2">
      <c r="A33" s="38" t="s">
        <v>97</v>
      </c>
      <c r="B33" s="38" t="s">
        <v>92</v>
      </c>
      <c r="C33" s="53">
        <v>1958.06</v>
      </c>
      <c r="D33" s="38" t="s">
        <v>94</v>
      </c>
    </row>
    <row r="34" spans="1:7" s="55" customFormat="1" ht="15" x14ac:dyDescent="0.25">
      <c r="A34" s="55" t="s">
        <v>98</v>
      </c>
      <c r="B34" s="55" t="s">
        <v>100</v>
      </c>
      <c r="C34" s="56">
        <v>12.55</v>
      </c>
      <c r="D34" s="55" t="s">
        <v>102</v>
      </c>
      <c r="F34" s="55">
        <v>12.55</v>
      </c>
    </row>
    <row r="35" spans="1:7" s="44" customFormat="1" ht="15" x14ac:dyDescent="0.25">
      <c r="B35" s="44" t="s">
        <v>90</v>
      </c>
      <c r="C35" s="54">
        <f>+(C31/980)+((C32*4)/980)+((C33/4)/980)+(C34/4)</f>
        <v>5.1951683673469393</v>
      </c>
    </row>
    <row r="36" spans="1:7" x14ac:dyDescent="0.2">
      <c r="A36" t="s">
        <v>70</v>
      </c>
      <c r="B36" t="s">
        <v>6</v>
      </c>
      <c r="C36" s="53">
        <v>50.7</v>
      </c>
    </row>
    <row r="37" spans="1:7" x14ac:dyDescent="0.2">
      <c r="A37" t="s">
        <v>59</v>
      </c>
      <c r="B37" t="s">
        <v>7</v>
      </c>
      <c r="C37" s="53">
        <v>20.6</v>
      </c>
    </row>
    <row r="38" spans="1:7" x14ac:dyDescent="0.2">
      <c r="A38" t="s">
        <v>57</v>
      </c>
      <c r="B38" t="s">
        <v>8</v>
      </c>
      <c r="C38" s="53">
        <v>66.37</v>
      </c>
    </row>
    <row r="39" spans="1:7" x14ac:dyDescent="0.2">
      <c r="A39" t="s">
        <v>83</v>
      </c>
      <c r="B39" t="s">
        <v>85</v>
      </c>
      <c r="C39" s="53">
        <v>58.14</v>
      </c>
      <c r="D39" s="38" t="s">
        <v>99</v>
      </c>
      <c r="G39" s="74">
        <f>+C39+C40</f>
        <v>80.289999999999992</v>
      </c>
    </row>
    <row r="40" spans="1:7" s="62" customFormat="1" x14ac:dyDescent="0.2">
      <c r="A40" s="62" t="s">
        <v>84</v>
      </c>
      <c r="B40" s="62" t="s">
        <v>86</v>
      </c>
      <c r="C40" s="63">
        <v>22.15</v>
      </c>
      <c r="D40" s="62" t="s">
        <v>103</v>
      </c>
      <c r="G40" s="62">
        <f>+G39/3.778</f>
        <v>21.251985177342508</v>
      </c>
    </row>
    <row r="41" spans="1:7" ht="15" x14ac:dyDescent="0.25">
      <c r="A41" s="44" t="s">
        <v>80</v>
      </c>
      <c r="C41" s="52">
        <v>6.2E-2</v>
      </c>
      <c r="D41" t="s">
        <v>108</v>
      </c>
    </row>
    <row r="42" spans="1:7" ht="15" x14ac:dyDescent="0.25">
      <c r="A42" s="44" t="s">
        <v>82</v>
      </c>
      <c r="C42" s="53">
        <v>0.22</v>
      </c>
      <c r="D42" s="38" t="s">
        <v>110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D13" sqref="D13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75</v>
      </c>
      <c r="B2" s="2" t="s">
        <v>0</v>
      </c>
      <c r="C2" s="47">
        <f>+Datos!C2</f>
        <v>44835</v>
      </c>
      <c r="D2" s="43">
        <f>+Datos!D2</f>
        <v>44866</v>
      </c>
    </row>
    <row r="3" spans="1:13" x14ac:dyDescent="0.25">
      <c r="A3" s="2" t="s">
        <v>55</v>
      </c>
      <c r="B3" s="2"/>
      <c r="C3" s="3">
        <v>102.76258043055556</v>
      </c>
      <c r="D3" s="57">
        <f>D4+D5</f>
        <v>134.74132780993148</v>
      </c>
      <c r="E3" s="13" t="s">
        <v>101</v>
      </c>
      <c r="L3" s="4"/>
      <c r="M3" s="5"/>
    </row>
    <row r="4" spans="1:13" x14ac:dyDescent="0.25">
      <c r="A4" s="6"/>
      <c r="B4" s="7" t="s">
        <v>1</v>
      </c>
      <c r="C4" s="8">
        <v>40.799999999999997</v>
      </c>
      <c r="D4" s="58">
        <f>Insumos!J20</f>
        <v>55.109589041095887</v>
      </c>
      <c r="E4" s="13"/>
      <c r="L4" s="4"/>
      <c r="M4" s="5"/>
    </row>
    <row r="5" spans="1:13" x14ac:dyDescent="0.25">
      <c r="A5" s="7"/>
      <c r="B5" s="7" t="s">
        <v>2</v>
      </c>
      <c r="C5" s="8">
        <v>61.962580430555562</v>
      </c>
      <c r="D5" s="59">
        <f>+Insumos!J19</f>
        <v>79.631738768835604</v>
      </c>
      <c r="E5" s="13"/>
      <c r="L5" s="4"/>
      <c r="M5" s="5"/>
    </row>
    <row r="6" spans="1:13" x14ac:dyDescent="0.25">
      <c r="A6" s="2" t="s">
        <v>3</v>
      </c>
      <c r="B6" s="2"/>
      <c r="C6" s="9">
        <v>149.11000000000001</v>
      </c>
      <c r="D6" s="57">
        <f>D7+D8+D9+D10+D11+D12</f>
        <v>165.06516836734696</v>
      </c>
      <c r="E6" s="13"/>
      <c r="L6" s="4"/>
      <c r="M6" s="5"/>
    </row>
    <row r="7" spans="1:13" x14ac:dyDescent="0.25">
      <c r="A7" s="7" t="s">
        <v>87</v>
      </c>
      <c r="B7" s="7" t="s">
        <v>4</v>
      </c>
      <c r="C7" s="10">
        <v>0.9</v>
      </c>
      <c r="D7" s="58">
        <f>+Datos!C30</f>
        <v>0.95</v>
      </c>
      <c r="E7" s="13"/>
      <c r="L7" s="4"/>
      <c r="M7" s="5"/>
    </row>
    <row r="8" spans="1:13" x14ac:dyDescent="0.25">
      <c r="A8" s="7"/>
      <c r="B8" s="7" t="s">
        <v>5</v>
      </c>
      <c r="C8" s="10">
        <v>1.88</v>
      </c>
      <c r="D8" s="58">
        <f>+Datos!C35</f>
        <v>5.1951683673469393</v>
      </c>
      <c r="E8" s="13" t="s">
        <v>104</v>
      </c>
      <c r="L8" s="4"/>
      <c r="M8" s="5"/>
    </row>
    <row r="9" spans="1:13" x14ac:dyDescent="0.25">
      <c r="A9" s="7" t="s">
        <v>70</v>
      </c>
      <c r="B9" s="7" t="s">
        <v>6</v>
      </c>
      <c r="C9" s="8">
        <v>45.6</v>
      </c>
      <c r="D9" s="58">
        <f>+Datos!C36</f>
        <v>50.7</v>
      </c>
      <c r="E9" s="38"/>
      <c r="L9" s="4"/>
      <c r="M9" s="5"/>
    </row>
    <row r="10" spans="1:13" x14ac:dyDescent="0.25">
      <c r="A10" s="7" t="s">
        <v>59</v>
      </c>
      <c r="B10" s="7" t="s">
        <v>7</v>
      </c>
      <c r="C10" s="8">
        <v>13.12</v>
      </c>
      <c r="D10" s="58">
        <f>+Datos!C37</f>
        <v>20.6</v>
      </c>
      <c r="E10" s="38"/>
      <c r="L10" s="4"/>
      <c r="M10" s="5"/>
    </row>
    <row r="11" spans="1:13" x14ac:dyDescent="0.25">
      <c r="A11" s="7" t="s">
        <v>57</v>
      </c>
      <c r="B11" s="7" t="s">
        <v>8</v>
      </c>
      <c r="C11" s="8">
        <v>66.36</v>
      </c>
      <c r="D11" s="58">
        <f>+Datos!C38</f>
        <v>66.37</v>
      </c>
      <c r="E11" s="38"/>
      <c r="L11" s="4"/>
      <c r="M11" s="5"/>
    </row>
    <row r="12" spans="1:13" x14ac:dyDescent="0.25">
      <c r="A12" s="7" t="s">
        <v>58</v>
      </c>
      <c r="B12" s="7" t="s">
        <v>9</v>
      </c>
      <c r="C12" s="8">
        <v>21.25</v>
      </c>
      <c r="D12" s="58">
        <f>+C12</f>
        <v>21.25</v>
      </c>
      <c r="E12" s="38"/>
      <c r="G12" s="55"/>
      <c r="L12" s="4"/>
      <c r="M12" s="5"/>
    </row>
    <row r="13" spans="1:13" s="44" customFormat="1" x14ac:dyDescent="0.25">
      <c r="A13" s="2" t="s">
        <v>74</v>
      </c>
      <c r="B13" s="2">
        <v>0.2</v>
      </c>
      <c r="C13" s="3">
        <v>50.374516086111115</v>
      </c>
      <c r="D13" s="57">
        <f>+(D3+D6)*$B$13</f>
        <v>59.961299235455684</v>
      </c>
      <c r="G13" s="51"/>
      <c r="L13" s="42"/>
      <c r="M13" s="45"/>
    </row>
    <row r="14" spans="1:13" x14ac:dyDescent="0.25">
      <c r="A14" s="2" t="s">
        <v>10</v>
      </c>
      <c r="B14" s="11"/>
      <c r="C14" s="12">
        <v>89.96486868566447</v>
      </c>
      <c r="D14" s="60">
        <f>D15+D16</f>
        <v>103.38995014417569</v>
      </c>
      <c r="L14" s="4"/>
      <c r="M14" s="5"/>
    </row>
    <row r="15" spans="1:13" x14ac:dyDescent="0.25">
      <c r="A15" s="7"/>
      <c r="B15" s="7" t="s">
        <v>11</v>
      </c>
      <c r="C15" s="8">
        <v>40.298668685664481</v>
      </c>
      <c r="D15" s="58">
        <f>C15*(1+Datos!C41)</f>
        <v>42.797186144175683</v>
      </c>
      <c r="E15" s="13" t="s">
        <v>81</v>
      </c>
      <c r="G15" s="50"/>
      <c r="L15" s="4"/>
      <c r="M15" s="5"/>
    </row>
    <row r="16" spans="1:13" x14ac:dyDescent="0.25">
      <c r="A16" s="7"/>
      <c r="B16" s="7" t="s">
        <v>12</v>
      </c>
      <c r="C16" s="8">
        <v>49.666199999999996</v>
      </c>
      <c r="D16" s="58">
        <f>+C16*(1+Datos!C42)</f>
        <v>60.592763999999995</v>
      </c>
      <c r="E16" s="13" t="s">
        <v>73</v>
      </c>
      <c r="G16" s="50"/>
      <c r="L16" s="4"/>
      <c r="M16" s="5"/>
    </row>
    <row r="17" spans="1:13" x14ac:dyDescent="0.25">
      <c r="A17" s="2"/>
      <c r="B17" s="2" t="s">
        <v>13</v>
      </c>
      <c r="C17" s="3">
        <f>+C3+C6+C13+C14</f>
        <v>392.21196520233116</v>
      </c>
      <c r="D17" s="57">
        <f>+D3+D6+D13+D14</f>
        <v>463.15774555690973</v>
      </c>
      <c r="L17" s="4"/>
      <c r="M17" s="5"/>
    </row>
    <row r="18" spans="1:13" x14ac:dyDescent="0.25">
      <c r="A18" s="41"/>
      <c r="B18" s="41"/>
      <c r="C18" s="42"/>
      <c r="D18" s="42"/>
      <c r="L18" s="4"/>
      <c r="M18" s="5"/>
    </row>
    <row r="19" spans="1:13" x14ac:dyDescent="0.25">
      <c r="A19" s="41"/>
      <c r="B19" s="41"/>
      <c r="C19" s="42"/>
      <c r="D19" s="42"/>
      <c r="L19" s="4"/>
      <c r="M19" s="5"/>
    </row>
    <row r="20" spans="1:13" x14ac:dyDescent="0.25">
      <c r="A20" s="41"/>
      <c r="B20" s="41"/>
      <c r="C20" s="42" t="s">
        <v>72</v>
      </c>
      <c r="D20" s="42">
        <f>+D17*4</f>
        <v>1852.6309822276389</v>
      </c>
      <c r="E20">
        <f>+D20/4</f>
        <v>463.15774555690973</v>
      </c>
      <c r="L20" s="4"/>
      <c r="M20" s="5"/>
    </row>
    <row r="21" spans="1:13" x14ac:dyDescent="0.25">
      <c r="D21" s="39"/>
    </row>
    <row r="22" spans="1:13" ht="15" customHeight="1" x14ac:dyDescent="0.25">
      <c r="A22" s="69" t="s">
        <v>14</v>
      </c>
      <c r="B22" s="68"/>
      <c r="C22" s="68"/>
      <c r="D22" s="40"/>
      <c r="E22" s="14"/>
      <c r="F22" s="14"/>
      <c r="G22" s="14"/>
    </row>
    <row r="23" spans="1:13" ht="15" customHeight="1" x14ac:dyDescent="0.25">
      <c r="A23" s="67" t="s">
        <v>15</v>
      </c>
      <c r="B23" s="68"/>
      <c r="C23" s="68"/>
      <c r="D23" s="15"/>
      <c r="E23" s="15"/>
      <c r="F23" s="15"/>
      <c r="G23" s="15"/>
    </row>
    <row r="24" spans="1:13" ht="15" customHeight="1" x14ac:dyDescent="0.25">
      <c r="A24" s="67" t="s">
        <v>16</v>
      </c>
      <c r="B24" s="68"/>
      <c r="C24" s="68"/>
      <c r="D24" s="15"/>
      <c r="E24" s="15"/>
      <c r="F24" s="15"/>
      <c r="G24" s="15"/>
    </row>
    <row r="25" spans="1:13" ht="30.75" customHeight="1" x14ac:dyDescent="0.25">
      <c r="A25" s="67" t="s">
        <v>17</v>
      </c>
      <c r="B25" s="68"/>
      <c r="C25" s="68"/>
      <c r="D25" s="15"/>
      <c r="E25" s="15"/>
      <c r="F25" s="15"/>
      <c r="G25" s="15"/>
    </row>
    <row r="26" spans="1:13" ht="15" customHeight="1" x14ac:dyDescent="0.25">
      <c r="A26" s="67" t="s">
        <v>18</v>
      </c>
      <c r="B26" s="68"/>
      <c r="C26" s="68"/>
      <c r="D26" s="15"/>
      <c r="E26" s="15"/>
      <c r="F26" s="15"/>
      <c r="G26" s="15"/>
    </row>
    <row r="27" spans="1:13" ht="15" customHeight="1" x14ac:dyDescent="0.25">
      <c r="A27" s="67" t="s">
        <v>19</v>
      </c>
      <c r="B27" s="68"/>
      <c r="C27" s="68"/>
      <c r="D27" s="15"/>
      <c r="E27" s="15"/>
      <c r="F27" s="15"/>
      <c r="G27" s="15"/>
    </row>
    <row r="28" spans="1:13" ht="15" customHeight="1" x14ac:dyDescent="0.25">
      <c r="A28" s="67" t="s">
        <v>20</v>
      </c>
      <c r="B28" s="68"/>
      <c r="C28" s="68"/>
      <c r="D28" s="15"/>
      <c r="E28" s="15"/>
      <c r="F28" s="15"/>
      <c r="G28" s="15"/>
    </row>
    <row r="29" spans="1:13" ht="15" customHeight="1" x14ac:dyDescent="0.25">
      <c r="A29" s="67" t="s">
        <v>21</v>
      </c>
      <c r="B29" s="68"/>
      <c r="C29" s="68"/>
      <c r="D29" s="15"/>
      <c r="E29" s="15"/>
      <c r="F29" s="15"/>
      <c r="G29" s="15"/>
    </row>
    <row r="30" spans="1:13" ht="16.5" customHeight="1" x14ac:dyDescent="0.25">
      <c r="A30" s="67" t="s">
        <v>22</v>
      </c>
      <c r="B30" s="68"/>
      <c r="C30" s="68"/>
      <c r="D30" s="15"/>
      <c r="E30" s="15"/>
      <c r="F30" s="15"/>
      <c r="G30" s="15"/>
    </row>
    <row r="31" spans="1:13" ht="15.75" customHeight="1" x14ac:dyDescent="0.25">
      <c r="A31" s="16"/>
      <c r="B31" s="16"/>
      <c r="C31" s="16"/>
      <c r="D31" s="16"/>
      <c r="E31" s="16"/>
      <c r="F31" s="16"/>
      <c r="G31" s="16"/>
    </row>
    <row r="32" spans="1:13" ht="15.75" customHeight="1" x14ac:dyDescent="0.25">
      <c r="A32" s="1"/>
      <c r="B32" s="1"/>
    </row>
    <row r="33" spans="1:3" ht="15.75" customHeight="1" x14ac:dyDescent="0.25">
      <c r="A33" s="7" t="s">
        <v>23</v>
      </c>
      <c r="B33" s="7"/>
    </row>
    <row r="34" spans="1:3" ht="15.75" customHeight="1" x14ac:dyDescent="0.25">
      <c r="A34" s="7" t="s">
        <v>24</v>
      </c>
      <c r="B34" s="2" t="s">
        <v>71</v>
      </c>
    </row>
    <row r="35" spans="1:3" ht="15.75" customHeight="1" x14ac:dyDescent="0.25">
      <c r="A35" s="7" t="s">
        <v>25</v>
      </c>
      <c r="B35" s="7" t="s">
        <v>26</v>
      </c>
    </row>
    <row r="36" spans="1:3" ht="15.75" customHeight="1" x14ac:dyDescent="0.25">
      <c r="A36" s="7" t="s">
        <v>12</v>
      </c>
      <c r="B36" s="7" t="s">
        <v>27</v>
      </c>
      <c r="C36" t="s">
        <v>56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7" workbookViewId="0">
      <selection activeCell="G16" sqref="G16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7"/>
      <c r="B1" s="18" t="s">
        <v>106</v>
      </c>
      <c r="C1" s="19"/>
    </row>
    <row r="2" spans="1:13" ht="14.25" x14ac:dyDescent="0.2">
      <c r="A2" s="19"/>
    </row>
    <row r="3" spans="1:13" ht="43.5" x14ac:dyDescent="0.3">
      <c r="A3" s="20" t="s">
        <v>28</v>
      </c>
      <c r="B3" s="21">
        <v>540</v>
      </c>
      <c r="C3" s="19"/>
      <c r="D3" s="21"/>
      <c r="E3" s="19"/>
      <c r="F3" s="21"/>
      <c r="G3" s="22"/>
      <c r="H3" s="22"/>
      <c r="I3" s="19"/>
    </row>
    <row r="4" spans="1:13" ht="14.25" x14ac:dyDescent="0.2">
      <c r="A4" s="19"/>
    </row>
    <row r="5" spans="1:13" ht="14.25" x14ac:dyDescent="0.2">
      <c r="A5" s="23" t="s">
        <v>29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30" x14ac:dyDescent="0.4">
      <c r="A6" s="23" t="s">
        <v>30</v>
      </c>
      <c r="B6" s="24" t="s">
        <v>31</v>
      </c>
      <c r="C6" s="18" t="s">
        <v>32</v>
      </c>
      <c r="D6" s="19"/>
      <c r="E6" s="25"/>
      <c r="F6" s="19"/>
      <c r="G6" s="26" t="s">
        <v>33</v>
      </c>
      <c r="H6" s="64">
        <v>730</v>
      </c>
      <c r="I6" s="28" t="s">
        <v>107</v>
      </c>
      <c r="J6" s="19"/>
      <c r="K6" s="19"/>
    </row>
    <row r="7" spans="1:13" ht="14.25" x14ac:dyDescent="0.2">
      <c r="A7" s="23"/>
      <c r="B7" s="19"/>
      <c r="C7" s="19"/>
      <c r="D7" s="19"/>
      <c r="E7" s="19"/>
      <c r="F7" s="19"/>
    </row>
    <row r="8" spans="1:13" ht="30" x14ac:dyDescent="0.4">
      <c r="A8" s="23"/>
      <c r="B8" s="29"/>
      <c r="C8" s="29"/>
      <c r="D8" s="29"/>
      <c r="E8" s="19"/>
      <c r="F8" s="19"/>
      <c r="G8" s="70"/>
      <c r="H8" s="71"/>
      <c r="I8" s="71"/>
      <c r="J8" s="72"/>
      <c r="K8" s="19"/>
      <c r="L8" s="19"/>
      <c r="M8" s="19"/>
    </row>
    <row r="9" spans="1:13" ht="18" x14ac:dyDescent="0.25">
      <c r="A9" s="23" t="s">
        <v>34</v>
      </c>
      <c r="B9" s="19"/>
      <c r="C9" s="19"/>
      <c r="D9" s="19"/>
      <c r="E9" s="30" t="s">
        <v>35</v>
      </c>
      <c r="F9" s="30" t="s">
        <v>36</v>
      </c>
      <c r="G9" s="27" t="s">
        <v>37</v>
      </c>
      <c r="H9" s="27" t="s">
        <v>38</v>
      </c>
      <c r="I9" s="27" t="s">
        <v>39</v>
      </c>
      <c r="J9" s="27" t="s">
        <v>40</v>
      </c>
    </row>
    <row r="10" spans="1:13" x14ac:dyDescent="0.2">
      <c r="A10" s="23"/>
      <c r="B10" s="19"/>
      <c r="C10" s="19"/>
      <c r="D10" s="19" t="s">
        <v>60</v>
      </c>
      <c r="E10" s="31" t="s">
        <v>41</v>
      </c>
      <c r="F10" s="31">
        <f t="shared" ref="F10:F11" si="0">19282.5/2</f>
        <v>9641.25</v>
      </c>
      <c r="G10" s="32">
        <f>+Datos!C20</f>
        <v>4860</v>
      </c>
      <c r="H10" s="32">
        <f t="shared" ref="H10:H18" si="1">G10*F10/1000</f>
        <v>46856.474999999999</v>
      </c>
      <c r="I10" s="32">
        <f t="shared" ref="I10:I18" si="2">+H10/$H$6</f>
        <v>64.186952054794517</v>
      </c>
      <c r="J10" s="32">
        <f t="shared" ref="J10:J18" si="3">I10/2</f>
        <v>32.093476027397259</v>
      </c>
    </row>
    <row r="11" spans="1:13" x14ac:dyDescent="0.2">
      <c r="A11" s="23"/>
      <c r="B11" s="19"/>
      <c r="C11" s="19"/>
      <c r="D11" s="19" t="s">
        <v>61</v>
      </c>
      <c r="E11" s="31" t="s">
        <v>42</v>
      </c>
      <c r="F11" s="31">
        <f t="shared" si="0"/>
        <v>9641.25</v>
      </c>
      <c r="G11" s="32">
        <f>+Datos!C21</f>
        <v>6300</v>
      </c>
      <c r="H11" s="32">
        <f t="shared" si="1"/>
        <v>60739.875</v>
      </c>
      <c r="I11" s="32">
        <f t="shared" si="2"/>
        <v>83.205308219178079</v>
      </c>
      <c r="J11" s="32">
        <f t="shared" si="3"/>
        <v>41.602654109589039</v>
      </c>
    </row>
    <row r="12" spans="1:13" x14ac:dyDescent="0.2">
      <c r="A12" s="23"/>
      <c r="B12" s="19"/>
      <c r="C12" s="19"/>
      <c r="D12" s="19" t="s">
        <v>62</v>
      </c>
      <c r="E12" s="31" t="s">
        <v>43</v>
      </c>
      <c r="F12" s="31">
        <v>3857.5</v>
      </c>
      <c r="G12" s="32">
        <f>+Datos!C22</f>
        <v>322</v>
      </c>
      <c r="H12" s="32">
        <f t="shared" si="1"/>
        <v>1242.115</v>
      </c>
      <c r="I12" s="32">
        <f t="shared" si="2"/>
        <v>1.701527397260274</v>
      </c>
      <c r="J12" s="32">
        <f t="shared" si="3"/>
        <v>0.85076369863013701</v>
      </c>
    </row>
    <row r="13" spans="1:13" x14ac:dyDescent="0.2">
      <c r="A13" s="23"/>
      <c r="B13" s="19"/>
      <c r="C13" s="19"/>
      <c r="D13" s="19" t="s">
        <v>63</v>
      </c>
      <c r="E13" s="31" t="s">
        <v>44</v>
      </c>
      <c r="F13" s="31">
        <v>61.5</v>
      </c>
      <c r="G13" s="32">
        <f>+Datos!C23</f>
        <v>18200</v>
      </c>
      <c r="H13" s="32">
        <f t="shared" si="1"/>
        <v>1119.3</v>
      </c>
      <c r="I13" s="32">
        <f t="shared" si="2"/>
        <v>1.5332876712328767</v>
      </c>
      <c r="J13" s="32">
        <f t="shared" si="3"/>
        <v>0.76664383561643834</v>
      </c>
    </row>
    <row r="14" spans="1:13" x14ac:dyDescent="0.2">
      <c r="A14" s="23"/>
      <c r="B14" s="19"/>
      <c r="C14" s="19"/>
      <c r="D14" s="19" t="s">
        <v>64</v>
      </c>
      <c r="E14" s="31" t="s">
        <v>45</v>
      </c>
      <c r="F14" s="31">
        <v>41.25</v>
      </c>
      <c r="G14" s="32">
        <f>+Datos!C24</f>
        <v>3404</v>
      </c>
      <c r="H14" s="32">
        <f t="shared" si="1"/>
        <v>140.41499999999999</v>
      </c>
      <c r="I14" s="32">
        <f t="shared" si="2"/>
        <v>0.19234931506849315</v>
      </c>
      <c r="J14" s="32">
        <f t="shared" si="3"/>
        <v>9.6174657534246574E-2</v>
      </c>
    </row>
    <row r="15" spans="1:13" x14ac:dyDescent="0.2">
      <c r="A15" s="23"/>
      <c r="B15" s="19"/>
      <c r="C15" s="19"/>
      <c r="D15" s="19" t="s">
        <v>65</v>
      </c>
      <c r="E15" s="31" t="s">
        <v>46</v>
      </c>
      <c r="F15" s="31">
        <v>900</v>
      </c>
      <c r="G15" s="32">
        <f>+Datos!C25</f>
        <v>794.14</v>
      </c>
      <c r="H15" s="32">
        <f t="shared" si="1"/>
        <v>714.726</v>
      </c>
      <c r="I15" s="32">
        <f t="shared" si="2"/>
        <v>0.97907671232876714</v>
      </c>
      <c r="J15" s="32">
        <f t="shared" si="3"/>
        <v>0.48953835616438357</v>
      </c>
    </row>
    <row r="16" spans="1:13" x14ac:dyDescent="0.2">
      <c r="A16" s="23"/>
      <c r="B16" s="19"/>
      <c r="C16" s="19"/>
      <c r="D16" s="19" t="s">
        <v>66</v>
      </c>
      <c r="E16" s="31" t="s">
        <v>47</v>
      </c>
      <c r="F16" s="31">
        <v>514.25</v>
      </c>
      <c r="G16" s="32">
        <f>+Datos!C26</f>
        <v>8892.75</v>
      </c>
      <c r="H16" s="32">
        <f t="shared" si="1"/>
        <v>4573.0966875000004</v>
      </c>
      <c r="I16" s="32">
        <f t="shared" si="2"/>
        <v>6.2645160102739732</v>
      </c>
      <c r="J16" s="32">
        <f t="shared" si="3"/>
        <v>3.1322580051369866</v>
      </c>
    </row>
    <row r="17" spans="1:13" x14ac:dyDescent="0.2">
      <c r="A17" s="23"/>
      <c r="B17" s="19"/>
      <c r="C17" s="19"/>
      <c r="D17" s="19" t="s">
        <v>67</v>
      </c>
      <c r="E17" s="31" t="s">
        <v>48</v>
      </c>
      <c r="F17" s="31">
        <v>52.06</v>
      </c>
      <c r="G17" s="32">
        <f>+Datos!C27*Datos!$C$19</f>
        <v>11432.75</v>
      </c>
      <c r="H17" s="32">
        <f t="shared" si="1"/>
        <v>595.18896500000005</v>
      </c>
      <c r="I17" s="32">
        <f t="shared" si="2"/>
        <v>0.81532734931506856</v>
      </c>
      <c r="J17" s="32">
        <f t="shared" si="3"/>
        <v>0.40766367465753428</v>
      </c>
    </row>
    <row r="18" spans="1:13" x14ac:dyDescent="0.2">
      <c r="A18" s="23"/>
      <c r="B18" s="19"/>
      <c r="C18" s="19"/>
      <c r="D18" s="19" t="s">
        <v>68</v>
      </c>
      <c r="E18" s="31" t="s">
        <v>49</v>
      </c>
      <c r="F18" s="31">
        <v>21.1</v>
      </c>
      <c r="G18" s="32">
        <f>+Datos!C28*Datos!$C$19</f>
        <v>13324.5</v>
      </c>
      <c r="H18" s="32">
        <f t="shared" si="1"/>
        <v>281.14695</v>
      </c>
      <c r="I18" s="32">
        <f t="shared" si="2"/>
        <v>0.38513280821917811</v>
      </c>
      <c r="J18" s="32">
        <f t="shared" si="3"/>
        <v>0.19256640410958906</v>
      </c>
    </row>
    <row r="19" spans="1:13" ht="15.75" x14ac:dyDescent="0.25">
      <c r="A19" s="23"/>
      <c r="B19" s="19"/>
      <c r="C19" s="19"/>
      <c r="D19" s="19"/>
      <c r="E19" s="33" t="s">
        <v>50</v>
      </c>
      <c r="F19" s="33">
        <f>SUM(F10:F18)</f>
        <v>24730.16</v>
      </c>
      <c r="G19" s="34"/>
      <c r="H19" s="34">
        <f t="shared" ref="H19:J19" si="4">SUM(H10:H18)</f>
        <v>116262.33860249999</v>
      </c>
      <c r="I19" s="34">
        <f t="shared" si="4"/>
        <v>159.26347753767121</v>
      </c>
      <c r="J19" s="34">
        <f t="shared" si="4"/>
        <v>79.631738768835604</v>
      </c>
    </row>
    <row r="20" spans="1:13" ht="18" x14ac:dyDescent="0.25">
      <c r="A20" s="23"/>
      <c r="B20" s="19"/>
      <c r="C20" s="35"/>
      <c r="D20" s="19" t="s">
        <v>69</v>
      </c>
      <c r="E20" s="33" t="s">
        <v>51</v>
      </c>
      <c r="F20" s="33">
        <v>540000</v>
      </c>
      <c r="G20" s="36">
        <f>+Datos!C29</f>
        <v>149</v>
      </c>
      <c r="H20" s="36">
        <f>G20*F20/1000</f>
        <v>80460</v>
      </c>
      <c r="I20" s="36">
        <f>+H20/$H$6</f>
        <v>110.21917808219177</v>
      </c>
      <c r="J20" s="36">
        <f>I20/2</f>
        <v>55.109589041095887</v>
      </c>
      <c r="K20" s="19"/>
      <c r="L20" s="37"/>
      <c r="M20" s="19"/>
    </row>
    <row r="21" spans="1:13" ht="18" x14ac:dyDescent="0.25">
      <c r="A21" s="23"/>
      <c r="B21" s="19"/>
      <c r="C21" s="35"/>
      <c r="D21" s="19"/>
      <c r="E21" s="19"/>
      <c r="F21" s="19"/>
      <c r="G21" s="19"/>
      <c r="H21" s="19"/>
      <c r="I21" s="19"/>
      <c r="J21" s="19"/>
      <c r="K21" s="19"/>
      <c r="L21" s="37"/>
      <c r="M21" s="19"/>
    </row>
    <row r="22" spans="1:13" ht="18" x14ac:dyDescent="0.25">
      <c r="A22" s="23"/>
      <c r="B22" s="19"/>
      <c r="C22" s="35" t="s">
        <v>52</v>
      </c>
      <c r="D22" s="19"/>
      <c r="E22" s="19"/>
      <c r="F22" s="19"/>
      <c r="G22" s="19"/>
      <c r="H22" s="19"/>
      <c r="I22" s="19"/>
      <c r="J22" s="19"/>
      <c r="K22" s="19"/>
      <c r="L22" s="37"/>
      <c r="M22" s="19"/>
    </row>
    <row r="23" spans="1:13" ht="90" customHeight="1" x14ac:dyDescent="0.2">
      <c r="A23" s="23" t="s">
        <v>53</v>
      </c>
      <c r="B23" s="19"/>
      <c r="C23" s="19"/>
      <c r="D23" s="73" t="s">
        <v>54</v>
      </c>
      <c r="E23" s="68"/>
      <c r="F23" s="68"/>
      <c r="G23" s="68"/>
      <c r="H23" s="68"/>
      <c r="I23" s="68"/>
      <c r="J23" s="68"/>
      <c r="K23" s="68"/>
      <c r="L23" s="19"/>
      <c r="M23" s="19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2023-02-14T17:55:50Z</dcterms:modified>
</cp:coreProperties>
</file>