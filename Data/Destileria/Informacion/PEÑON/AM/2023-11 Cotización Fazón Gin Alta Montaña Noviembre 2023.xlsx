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7F95EC38-58BE-43FD-A0FB-60009F0C294F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C7" i="3" l="1"/>
  <c r="D16" i="1"/>
  <c r="D2" i="1"/>
  <c r="D9" i="1" l="1"/>
  <c r="C14" i="3"/>
  <c r="C13" i="3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s="1"/>
  <c r="D17" i="1" l="1"/>
  <c r="D20" i="1" l="1"/>
</calcChain>
</file>

<file path=xl/sharedStrings.xml><?xml version="1.0" encoding="utf-8"?>
<sst xmlns="http://schemas.openxmlformats.org/spreadsheetml/2006/main" count="155" uniqueCount="120">
  <si>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</si>
  <si>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</si>
  <si>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</si>
  <si>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</si>
  <si>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</si>
  <si>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</si>
  <si>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</si>
  <si>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</si>
  <si>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</si>
  <si>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</si>
  <si>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</si>
  <si>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</si>
  <si>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</si>
  <si>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</si>
  <si>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</si>
  <si>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</si>
  <si>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</si>
  <si>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</si>
  <si>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</si>
  <si>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</si>
  <si>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</si>
  <si>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</si>
  <si>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</si>
  <si>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</si>
  <si>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</si>
  <si>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</si>
  <si>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</si>
  <si>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</si>
  <si>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</si>
  <si>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</si>
  <si>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</si>
  <si>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</si>
  <si>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</si>
  <si>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</si>
  <si>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</si>
  <si>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</si>
  <si>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</si>
  <si>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</si>
  <si>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</si>
  <si>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</si>
  <si>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</si>
  <si>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</si>
  <si>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</si>
  <si>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</si>
  <si>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</si>
  <si>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</si>
  <si>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</si>
  <si>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</si>
  <si>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</si>
  <si>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</si>
  <si>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</si>
  <si>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</si>
  <si>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</si>
  <si>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</si>
  <si>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</si>
  <si>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</si>
  <si>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</si>
  <si>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</si>
  <si>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</si>
  <si>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</si>
  <si>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</si>
  <si>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</si>
  <si>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</si>
  <si>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</si>
  <si>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</si>
  <si>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</si>
  <si>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</si>
  <si>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</si>
  <si>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</si>
  <si>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</si>
  <si>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</si>
  <si>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</si>
  <si>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</si>
  <si>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</si>
  <si>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</si>
  <si>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</si>
  <si>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</si>
  <si>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</si>
  <si>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</si>
  <si>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</si>
  <si>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</si>
  <si>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</si>
  <si>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</si>
  <si>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</si>
  <si>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</si>
  <si>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</si>
  <si>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</si>
  <si>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</si>
  <si>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</si>
  <si>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</si>
  <si>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</si>
  <si>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</si>
  <si>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</si>
  <si>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</si>
  <si>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</si>
  <si>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</si>
  <si>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</si>
  <si>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</si>
  <si>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</si>
  <si>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</si>
  <si>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</si>
  <si>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</si>
  <si>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</si>
  <si>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</si>
  <si>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</si>
  <si>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</si>
  <si>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</si>
  <si>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</si>
  <si>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</si>
  <si>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</si>
  <si>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</si>
  <si>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</si>
  <si>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</si>
  <si>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* Aumentos Abril 2023 y Julio 2023 - Octubre 2023 estimado revisar</t>
  </si>
  <si>
    <t>Fecha Actual</t>
  </si>
  <si>
    <t>* 09-10</t>
  </si>
  <si>
    <t>* 10-10</t>
  </si>
  <si>
    <t>PEÑON-MULTICAJAS SA desde 13-11-2023</t>
  </si>
  <si>
    <t>* 02-11</t>
  </si>
  <si>
    <t>* 24-10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</si>
</sst>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6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10" fontId="0" fillId="0" borderId="0" xfId="0" applyNumberFormat="1"/>
    <xf numFmtId="168" fontId="0" fillId="0" borderId="0" xfId="1" applyNumberFormat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43" fontId="28" fillId="3" borderId="0" xfId="1" applyFont="1" applyFill="1" applyAlignmen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1"/>
  <sheetViews>
    <sheetView topLeftCell="A6" workbookViewId="0">
      <selection activeCell="C15" sqref="C1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114</v>
      </c>
    </row>
    <row r="2" spans="1:6" ht="15" x14ac:dyDescent="0.25">
      <c r="A2" s="39" t="s">
        <v>72</v>
      </c>
      <c r="C2" s="42">
        <v>45243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v>45243</v>
      </c>
      <c r="C5" s="45">
        <v>365.5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3" t="s">
        <v>103</v>
      </c>
      <c r="E6" s="52"/>
      <c r="F6" s="52"/>
    </row>
    <row r="7" spans="1:6" x14ac:dyDescent="0.2">
      <c r="A7" s="52" t="s">
        <v>112</v>
      </c>
      <c r="B7" s="52" t="s">
        <v>99</v>
      </c>
      <c r="C7" s="54">
        <f>53.5*1.13</f>
        <v>60.454999999999991</v>
      </c>
      <c r="D7" s="63"/>
      <c r="E7" s="52" t="s">
        <v>105</v>
      </c>
      <c r="F7" s="52" t="s">
        <v>118</v>
      </c>
    </row>
    <row r="8" spans="1:6" x14ac:dyDescent="0.2">
      <c r="A8" s="52" t="s">
        <v>60</v>
      </c>
      <c r="B8" s="52" t="s">
        <v>42</v>
      </c>
      <c r="C8" s="54">
        <v>1150</v>
      </c>
      <c r="D8" s="63"/>
      <c r="E8" s="52" t="s">
        <v>106</v>
      </c>
      <c r="F8" s="52" t="s">
        <v>115</v>
      </c>
    </row>
    <row r="9" spans="1:6" x14ac:dyDescent="0.2">
      <c r="A9" s="52" t="s">
        <v>61</v>
      </c>
      <c r="B9" s="52" t="s">
        <v>43</v>
      </c>
      <c r="C9" s="54">
        <v>38796</v>
      </c>
      <c r="D9" s="63"/>
      <c r="E9" s="52" t="s">
        <v>106</v>
      </c>
      <c r="F9" s="52" t="s">
        <v>115</v>
      </c>
    </row>
    <row r="10" spans="1:6" x14ac:dyDescent="0.2">
      <c r="A10" s="52" t="s">
        <v>62</v>
      </c>
      <c r="B10" s="52" t="s">
        <v>44</v>
      </c>
      <c r="C10" s="54">
        <v>27446</v>
      </c>
      <c r="D10" s="63"/>
      <c r="E10" s="52" t="s">
        <v>106</v>
      </c>
      <c r="F10" s="52" t="s">
        <v>119</v>
      </c>
    </row>
    <row r="11" spans="1:6" x14ac:dyDescent="0.2">
      <c r="A11" s="52" t="s">
        <v>63</v>
      </c>
      <c r="B11" s="52" t="s">
        <v>45</v>
      </c>
      <c r="C11" s="54">
        <v>5423.83</v>
      </c>
      <c r="D11" s="63"/>
      <c r="E11" s="52" t="s">
        <v>106</v>
      </c>
      <c r="F11" s="52" t="s">
        <v>116</v>
      </c>
    </row>
    <row r="12" spans="1:6" x14ac:dyDescent="0.2">
      <c r="A12" s="52" t="s">
        <v>64</v>
      </c>
      <c r="B12" s="52" t="s">
        <v>46</v>
      </c>
      <c r="C12" s="54">
        <v>16404.03</v>
      </c>
      <c r="D12" s="63" t="s">
        <v>103</v>
      </c>
      <c r="E12" s="52"/>
      <c r="F12" s="52"/>
    </row>
    <row r="13" spans="1:6" x14ac:dyDescent="0.2">
      <c r="A13" s="52" t="s">
        <v>65</v>
      </c>
      <c r="B13" s="52" t="s">
        <v>47</v>
      </c>
      <c r="C13" s="54">
        <f>69.5</f>
        <v>69.5</v>
      </c>
      <c r="D13" s="63"/>
      <c r="E13" s="52"/>
      <c r="F13" s="52"/>
    </row>
    <row r="14" spans="1:6" x14ac:dyDescent="0.2">
      <c r="A14" s="52" t="s">
        <v>66</v>
      </c>
      <c r="B14" s="52" t="s">
        <v>48</v>
      </c>
      <c r="C14" s="54">
        <f>81</f>
        <v>81</v>
      </c>
      <c r="D14" s="63"/>
      <c r="E14" s="52"/>
      <c r="F14" s="52"/>
    </row>
    <row r="15" spans="1:6" ht="15" x14ac:dyDescent="0.25">
      <c r="A15" s="52" t="s">
        <v>67</v>
      </c>
      <c r="B15" s="52" t="s">
        <v>50</v>
      </c>
      <c r="C15" s="75">
        <v>600</v>
      </c>
      <c r="D15" s="63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2070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250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7.71973724489796</v>
      </c>
      <c r="D21" s="52"/>
      <c r="E21" s="52"/>
      <c r="F21" s="52"/>
    </row>
    <row r="22" spans="1:10" x14ac:dyDescent="0.2">
      <c r="A22" s="65" t="s">
        <v>68</v>
      </c>
      <c r="B22" s="65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5" t="s">
        <v>101</v>
      </c>
      <c r="B23" s="65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147.52000000000001</v>
      </c>
      <c r="D24" s="52" t="s">
        <v>104</v>
      </c>
      <c r="E24" s="52"/>
      <c r="F24" s="52"/>
    </row>
    <row r="25" spans="1:10" x14ac:dyDescent="0.2">
      <c r="A25" s="65" t="s">
        <v>76</v>
      </c>
      <c r="B25" s="65" t="s">
        <v>78</v>
      </c>
      <c r="C25" s="64">
        <v>255</v>
      </c>
      <c r="D25" s="52" t="s">
        <v>92</v>
      </c>
      <c r="E25" s="52" t="s">
        <v>117</v>
      </c>
      <c r="F25" s="52"/>
      <c r="J25" s="66">
        <v>98.93</v>
      </c>
    </row>
    <row r="26" spans="1:10" s="52" customFormat="1" x14ac:dyDescent="0.2">
      <c r="A26" s="65" t="s">
        <v>77</v>
      </c>
      <c r="B26" s="65" t="s">
        <v>79</v>
      </c>
      <c r="C26" s="54">
        <v>42.5</v>
      </c>
      <c r="D26" s="52" t="s">
        <v>95</v>
      </c>
      <c r="E26" s="52" t="s">
        <v>117</v>
      </c>
      <c r="J26" s="67">
        <v>20.37</v>
      </c>
    </row>
    <row r="27" spans="1:10" ht="15" x14ac:dyDescent="0.25">
      <c r="A27" s="39" t="s">
        <v>74</v>
      </c>
      <c r="C27" s="55">
        <v>0.127</v>
      </c>
      <c r="D27" s="33" t="s">
        <v>98</v>
      </c>
    </row>
    <row r="28" spans="1:10" ht="15" x14ac:dyDescent="0.25">
      <c r="A28" s="39" t="s">
        <v>75</v>
      </c>
      <c r="C28" s="56">
        <v>1.1000000000000001</v>
      </c>
      <c r="D28" s="33" t="s">
        <v>113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E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7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8"/>
      <c r="H8" s="69"/>
      <c r="I8" s="69"/>
      <c r="J8" s="70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8" t="s">
        <v>100</v>
      </c>
      <c r="E11" s="59" t="s">
        <v>99</v>
      </c>
      <c r="F11" s="26">
        <f t="shared" si="0"/>
        <v>9641.25</v>
      </c>
      <c r="G11" s="27">
        <f>+DATOS!C7*DATOS!$C$5</f>
        <v>22096.302499999998</v>
      </c>
      <c r="H11" s="27">
        <f t="shared" ref="H11:H20" si="3">G11*F11/$H$6</f>
        <v>291830.10476455477</v>
      </c>
      <c r="I11" s="27">
        <f t="shared" si="1"/>
        <v>399.76726680075996</v>
      </c>
      <c r="J11" s="27">
        <f t="shared" si="2"/>
        <v>199.88363340037998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1150</v>
      </c>
      <c r="H12" s="27">
        <f t="shared" si="3"/>
        <v>6076.8835616438355</v>
      </c>
      <c r="I12" s="27">
        <f t="shared" si="1"/>
        <v>8.3244980296490905</v>
      </c>
      <c r="J12" s="27">
        <f t="shared" si="2"/>
        <v>4.1622490148245452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27446</v>
      </c>
      <c r="H14" s="27">
        <f t="shared" si="3"/>
        <v>1550.8869863013699</v>
      </c>
      <c r="I14" s="27">
        <f t="shared" si="1"/>
        <v>2.1245027209607805</v>
      </c>
      <c r="J14" s="27">
        <f t="shared" si="2"/>
        <v>1.0622513604803903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5423.83</v>
      </c>
      <c r="H15" s="27">
        <f t="shared" si="3"/>
        <v>6686.9136986301373</v>
      </c>
      <c r="I15" s="27">
        <f t="shared" si="1"/>
        <v>9.1601557515481336</v>
      </c>
      <c r="J15" s="27">
        <f t="shared" si="2"/>
        <v>4.5800778757740668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16404.03</v>
      </c>
      <c r="H16" s="27">
        <f t="shared" si="3"/>
        <v>11555.85264041096</v>
      </c>
      <c r="I16" s="27">
        <f t="shared" si="1"/>
        <v>15.82993512385063</v>
      </c>
      <c r="J16" s="27">
        <f t="shared" si="2"/>
        <v>7.914967561925315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25402.25</v>
      </c>
      <c r="H17" s="27">
        <f t="shared" si="3"/>
        <v>1811.5631986301371</v>
      </c>
      <c r="I17" s="27">
        <f t="shared" si="1"/>
        <v>2.4815934227810099</v>
      </c>
      <c r="J17" s="27">
        <f t="shared" si="2"/>
        <v>1.240796711390505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29605.5</v>
      </c>
      <c r="H18" s="27">
        <f t="shared" si="3"/>
        <v>855.72061643835627</v>
      </c>
      <c r="I18" s="27">
        <f t="shared" si="1"/>
        <v>1.1722200225182962</v>
      </c>
      <c r="J18" s="27">
        <f t="shared" si="2"/>
        <v>0.58611001125914808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441601.93601455475</v>
      </c>
      <c r="I19" s="29">
        <f t="shared" si="4"/>
        <v>604.93415892404767</v>
      </c>
      <c r="J19" s="29">
        <f t="shared" si="4"/>
        <v>302.46707946202383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600</v>
      </c>
      <c r="H20" s="31">
        <f t="shared" si="3"/>
        <v>443835.61643835617</v>
      </c>
      <c r="I20" s="31">
        <f>+H20/$H$6</f>
        <v>607.99399512103582</v>
      </c>
      <c r="J20" s="31">
        <f>I20/2</f>
        <v>303.99699756051791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1" t="s">
        <v>53</v>
      </c>
      <c r="E23" s="72"/>
      <c r="F23" s="72"/>
      <c r="G23" s="72"/>
      <c r="H23" s="72"/>
      <c r="I23" s="72"/>
      <c r="J23" s="72"/>
      <c r="K23" s="72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4" workbookViewId="0">
      <selection activeCell="E18" sqref="E18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45210</v>
      </c>
      <c r="D2" s="38">
        <f>+DATOS!C2</f>
        <v>45243</v>
      </c>
    </row>
    <row r="3" spans="1:13" x14ac:dyDescent="0.25">
      <c r="A3" s="2" t="s">
        <v>54</v>
      </c>
      <c r="B3" s="2"/>
      <c r="C3" s="47">
        <v>449.72077180873526</v>
      </c>
      <c r="D3" s="47">
        <f>D4+D5</f>
        <v>606.46407702254169</v>
      </c>
      <c r="E3" s="8"/>
      <c r="L3" s="3"/>
      <c r="M3" s="4"/>
    </row>
    <row r="4" spans="1:13" x14ac:dyDescent="0.25">
      <c r="A4" s="5"/>
      <c r="B4" s="6" t="s">
        <v>1</v>
      </c>
      <c r="C4" s="49">
        <v>185.43816851191593</v>
      </c>
      <c r="D4" s="48">
        <f>Insumos!J20</f>
        <v>303.99699756051791</v>
      </c>
      <c r="E4" s="8"/>
      <c r="L4" s="3"/>
      <c r="M4" s="4"/>
    </row>
    <row r="5" spans="1:13" x14ac:dyDescent="0.25">
      <c r="A5" s="6"/>
      <c r="B5" s="6" t="s">
        <v>2</v>
      </c>
      <c r="C5" s="49">
        <v>264.28260329681933</v>
      </c>
      <c r="D5" s="49">
        <f>+Insumos!J19</f>
        <v>302.46707946202383</v>
      </c>
      <c r="E5" s="8"/>
      <c r="L5" s="3"/>
      <c r="M5" s="4"/>
    </row>
    <row r="6" spans="1:13" x14ac:dyDescent="0.25">
      <c r="A6" s="2" t="s">
        <v>3</v>
      </c>
      <c r="B6" s="2"/>
      <c r="C6" s="47">
        <v>353.57635459183672</v>
      </c>
      <c r="D6" s="47">
        <f>D7+D8+D9+D10+D11+D12</f>
        <v>398.93723724489797</v>
      </c>
      <c r="E6" s="8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6.9088545918367341</v>
      </c>
      <c r="D8" s="48">
        <f>+DATOS!C21</f>
        <v>7.71973724489796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144.3725</v>
      </c>
      <c r="D9" s="48">
        <f>+DATOS!C22*DATOS!C5</f>
        <v>144.3725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147.52000000000001</v>
      </c>
      <c r="D11" s="48">
        <f>+DATOS!C24</f>
        <v>147.52000000000001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29.825000000000003</v>
      </c>
      <c r="D12" s="48">
        <f>+(DATOS!C25+DATOS!C26)/4</f>
        <v>74.375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160.65942528011442</v>
      </c>
      <c r="D13" s="47">
        <f>+(D3+D6)*$B$13</f>
        <v>201.08026285348794</v>
      </c>
      <c r="G13" s="44"/>
      <c r="L13" s="37"/>
      <c r="M13" s="40"/>
    </row>
    <row r="14" spans="1:13" x14ac:dyDescent="0.25">
      <c r="A14" s="2" t="s">
        <v>10</v>
      </c>
      <c r="B14" s="7"/>
      <c r="C14" s="50">
        <v>483.35599999999999</v>
      </c>
      <c r="D14" s="50">
        <f>D15+D16</f>
        <v>536.30471199999999</v>
      </c>
      <c r="L14" s="3"/>
      <c r="M14" s="4"/>
    </row>
    <row r="15" spans="1:13" x14ac:dyDescent="0.25">
      <c r="A15" s="6"/>
      <c r="B15" s="6" t="s">
        <v>11</v>
      </c>
      <c r="C15" s="49">
        <v>170.85599999999999</v>
      </c>
      <c r="D15" s="62">
        <f>+C15+C15*DATOS!C27</f>
        <v>192.55471199999999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312.5</v>
      </c>
      <c r="D16" s="48">
        <f>+C16*DATOS!C28</f>
        <v>343.75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61">
        <v>1447.3125516806863</v>
      </c>
      <c r="D17" s="47">
        <f>+D3+D6+D13+D14</f>
        <v>1742.7862891209274</v>
      </c>
      <c r="E17" s="60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6971.1451564837098</v>
      </c>
      <c r="L20" s="3"/>
      <c r="M20" s="4"/>
    </row>
    <row r="21" spans="1:13" x14ac:dyDescent="0.25">
      <c r="D21" s="34"/>
    </row>
    <row r="22" spans="1:13" ht="15" customHeight="1" x14ac:dyDescent="0.25">
      <c r="A22" s="74" t="s">
        <v>14</v>
      </c>
      <c r="B22" s="72"/>
      <c r="C22" s="72"/>
      <c r="D22" s="35"/>
      <c r="E22" s="9"/>
      <c r="F22" s="9"/>
      <c r="G22" s="9"/>
    </row>
    <row r="23" spans="1:13" ht="15" customHeight="1" x14ac:dyDescent="0.25">
      <c r="A23" s="73" t="s">
        <v>15</v>
      </c>
      <c r="B23" s="72"/>
      <c r="C23" s="72"/>
      <c r="D23" s="10"/>
      <c r="E23" s="10"/>
      <c r="F23" s="10"/>
      <c r="G23" s="10"/>
    </row>
    <row r="24" spans="1:13" ht="15" customHeight="1" x14ac:dyDescent="0.25">
      <c r="A24" s="73" t="s">
        <v>16</v>
      </c>
      <c r="B24" s="72"/>
      <c r="C24" s="72"/>
      <c r="D24" s="10"/>
      <c r="E24" s="10"/>
      <c r="F24" s="10"/>
      <c r="G24" s="10"/>
    </row>
    <row r="25" spans="1:13" ht="30.75" customHeight="1" x14ac:dyDescent="0.25">
      <c r="A25" s="73" t="s">
        <v>17</v>
      </c>
      <c r="B25" s="72"/>
      <c r="C25" s="72"/>
      <c r="D25" s="10"/>
      <c r="E25" s="10"/>
      <c r="F25" s="10"/>
      <c r="G25" s="10"/>
    </row>
    <row r="26" spans="1:13" ht="15" customHeight="1" x14ac:dyDescent="0.25">
      <c r="A26" s="73" t="s">
        <v>18</v>
      </c>
      <c r="B26" s="72"/>
      <c r="C26" s="72"/>
      <c r="D26" s="10"/>
      <c r="E26" s="10"/>
      <c r="F26" s="10"/>
      <c r="G26" s="10"/>
    </row>
    <row r="27" spans="1:13" ht="15" customHeight="1" x14ac:dyDescent="0.25">
      <c r="A27" s="73" t="s">
        <v>19</v>
      </c>
      <c r="B27" s="72"/>
      <c r="C27" s="72"/>
      <c r="D27" s="10"/>
      <c r="E27" s="10"/>
      <c r="F27" s="10"/>
      <c r="G27" s="10"/>
    </row>
    <row r="28" spans="1:13" ht="15" customHeight="1" x14ac:dyDescent="0.25">
      <c r="A28" s="73" t="s">
        <v>20</v>
      </c>
      <c r="B28" s="72"/>
      <c r="C28" s="72"/>
      <c r="D28" s="10"/>
      <c r="E28" s="10"/>
      <c r="F28" s="10"/>
      <c r="G28" s="10"/>
    </row>
    <row r="29" spans="1:13" ht="15" customHeight="1" x14ac:dyDescent="0.25">
      <c r="A29" s="73" t="s">
        <v>21</v>
      </c>
      <c r="B29" s="72"/>
      <c r="C29" s="72"/>
      <c r="D29" s="10"/>
      <c r="E29" s="10"/>
      <c r="F29" s="10"/>
      <c r="G29" s="10"/>
    </row>
    <row r="30" spans="1:13" ht="16.5" customHeight="1" x14ac:dyDescent="0.25">
      <c r="A30" s="73" t="s">
        <v>22</v>
      </c>
      <c r="B30" s="72"/>
      <c r="C30" s="72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2023-11-22T20:02:12Z</dcterms:modified>
</cp:coreProperties>
</file>