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D3577926-AC71-429B-B83A-1E90AB4D2A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3" r:id="rId1"/>
    <sheet name="Insumos" sheetId="2" r:id="rId2"/>
    <sheet name="Costeo" sheetId="1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H10" i="2" l="1"/>
  <c r="D2" i="1"/>
  <c r="D14" i="1" l="1"/>
  <c r="G11" i="2"/>
  <c r="C7" i="3"/>
  <c r="C21" i="3"/>
  <c r="D12" i="1"/>
  <c r="D11" i="1" l="1"/>
  <c r="D10" i="1"/>
  <c r="D9" i="1"/>
  <c r="D7" i="1"/>
  <c r="H11" i="2"/>
  <c r="G10" i="2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l="1"/>
  <c r="D20" i="1" l="1"/>
</calcChain>
</file>

<file path=xl/sharedStrings.xml><?xml version="1.0" encoding="utf-8"?>
<sst xmlns="http://schemas.openxmlformats.org/spreadsheetml/2006/main" count="155" uniqueCount="116">
  <si>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</si>
  <si>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</si>
  <si>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</si>
  <si>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</si>
  <si>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</si>
  <si>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</si>
  <si>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</si>
  <si>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</si>
  <si>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</si>
  <si>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</si>
  <si>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</si>
  <si>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</si>
  <si>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</si>
  <si>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</si>
  <si>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</si>
  <si>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</si>
  <si>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</si>
  <si>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</si>
  <si>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</si>
  <si>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</si>
  <si>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</si>
  <si>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</si>
  <si>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</si>
  <si>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</si>
  <si>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</si>
  <si>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</si>
  <si>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</si>
  <si>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</si>
  <si>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</si>
  <si>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</si>
  <si>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</si>
  <si>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</si>
  <si>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</si>
  <si>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</si>
  <si>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</si>
  <si>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</si>
  <si>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</si>
  <si>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</si>
  <si>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</si>
  <si>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</si>
  <si>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</si>
  <si>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</si>
  <si>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</si>
  <si>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</si>
  <si>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</si>
  <si>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</si>
  <si>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</si>
  <si>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</si>
  <si>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</si>
  <si>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</si>
  <si>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</si>
  <si>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</si>
  <si>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</si>
  <si>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</si>
  <si>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</si>
  <si>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</si>
  <si>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</si>
  <si>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</si>
  <si>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</si>
  <si>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</si>
  <si>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</si>
  <si>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</si>
  <si>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</si>
  <si>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</si>
  <si>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</si>
  <si>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</si>
  <si>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</si>
  <si>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</si>
  <si>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</si>
  <si>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</si>
  <si>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</si>
  <si>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</si>
  <si>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</si>
  <si>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</si>
  <si>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</si>
  <si>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</si>
  <si>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</si>
  <si>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</si>
  <si>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</si>
  <si>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</si>
  <si>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</si>
  <si>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</si>
  <si>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</si>
  <si>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</si>
  <si>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</si>
  <si>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</si>
  <si>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</si>
  <si>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</si>
  <si>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</si>
  <si>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</si>
  <si>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</si>
  <si>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</si>
  <si>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</si>
  <si>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</si>
  <si>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</si>
  <si>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</si>
  <si>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</si>
  <si>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</si>
  <si>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</si>
  <si>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</si>
  <si>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</si>
  <si>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</si>
  <si>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</si>
  <si>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</si>
  <si>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</si>
  <si>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</si>
  <si>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</si>
  <si>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* 25-07</t>
  </si>
  <si>
    <t>MELAR</t>
  </si>
  <si>
    <t>PEÑON-TAPI</t>
  </si>
  <si>
    <t>PEÑON-ASG</t>
  </si>
  <si>
    <t>PEÑON-MULTICAJAS SA</t>
  </si>
  <si>
    <t>Fasonado</t>
  </si>
  <si>
    <t>* Aumentos Abril 2023 y Julio 2023</t>
  </si>
  <si>
    <t>Servicios e Indirectos</t>
  </si>
  <si>
    <t>*% inflación indec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</si>
</sst>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4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31"/>
  <sheetViews>
    <sheetView tabSelected="1" topLeftCell="A6" workbookViewId="0">
      <selection activeCell="C20" sqref="C2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73</v>
      </c>
    </row>
    <row r="2" spans="1:6" ht="15" x14ac:dyDescent="0.25">
      <c r="A2" s="39" t="s">
        <v>72</v>
      </c>
      <c r="C2" s="42">
        <v>45143</v>
      </c>
      <c r="D2" s="41"/>
    </row>
    <row r="3" spans="1:6" x14ac:dyDescent="0.2">
      <c r="C3" s="41"/>
      <c r="D3" s="41"/>
    </row>
    <row r="5" spans="1:6" ht="15" x14ac:dyDescent="0.25">
      <c r="A5" s="39" t="s">
        <v>74</v>
      </c>
      <c r="B5" s="51">
        <v>45152</v>
      </c>
      <c r="C5" s="45">
        <v>365.5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4" t="s">
        <v>104</v>
      </c>
      <c r="E6" s="52"/>
      <c r="F6" s="52"/>
    </row>
    <row r="7" spans="1:6" x14ac:dyDescent="0.2">
      <c r="A7" s="52" t="s">
        <v>101</v>
      </c>
      <c r="B7" s="52" t="s">
        <v>100</v>
      </c>
      <c r="C7" s="54">
        <f>44.5*1.06</f>
        <v>47.17</v>
      </c>
      <c r="D7" s="64"/>
      <c r="E7" s="52" t="s">
        <v>106</v>
      </c>
      <c r="F7" s="52" t="s">
        <v>107</v>
      </c>
    </row>
    <row r="8" spans="1:6" x14ac:dyDescent="0.2">
      <c r="A8" s="52" t="s">
        <v>60</v>
      </c>
      <c r="B8" s="52" t="s">
        <v>42</v>
      </c>
      <c r="C8" s="54">
        <v>685.21</v>
      </c>
      <c r="D8" s="64"/>
      <c r="E8" s="52" t="s">
        <v>108</v>
      </c>
      <c r="F8" s="52" t="s">
        <v>107</v>
      </c>
    </row>
    <row r="9" spans="1:6" x14ac:dyDescent="0.2">
      <c r="A9" s="52" t="s">
        <v>61</v>
      </c>
      <c r="B9" s="52" t="s">
        <v>43</v>
      </c>
      <c r="C9" s="54">
        <v>23628</v>
      </c>
      <c r="D9" s="64"/>
      <c r="E9" s="52" t="s">
        <v>108</v>
      </c>
      <c r="F9" s="52" t="s">
        <v>107</v>
      </c>
    </row>
    <row r="10" spans="1:6" x14ac:dyDescent="0.2">
      <c r="A10" s="52" t="s">
        <v>62</v>
      </c>
      <c r="B10" s="52" t="s">
        <v>44</v>
      </c>
      <c r="C10" s="54">
        <v>13740</v>
      </c>
      <c r="D10" s="64"/>
      <c r="E10" s="52" t="s">
        <v>108</v>
      </c>
      <c r="F10" s="52" t="s">
        <v>107</v>
      </c>
    </row>
    <row r="11" spans="1:6" x14ac:dyDescent="0.2">
      <c r="A11" s="52" t="s">
        <v>63</v>
      </c>
      <c r="B11" s="52" t="s">
        <v>45</v>
      </c>
      <c r="C11" s="54">
        <v>2436</v>
      </c>
      <c r="D11" s="64"/>
      <c r="E11" s="52" t="s">
        <v>108</v>
      </c>
      <c r="F11" s="52" t="s">
        <v>107</v>
      </c>
    </row>
    <row r="12" spans="1:6" x14ac:dyDescent="0.2">
      <c r="A12" s="52" t="s">
        <v>64</v>
      </c>
      <c r="B12" s="52" t="s">
        <v>46</v>
      </c>
      <c r="C12" s="54">
        <v>16596.59</v>
      </c>
      <c r="D12" s="64" t="s">
        <v>104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v>69.5</v>
      </c>
      <c r="D13" s="64"/>
      <c r="E13" s="52"/>
      <c r="F13" s="52"/>
    </row>
    <row r="14" spans="1:6" x14ac:dyDescent="0.2">
      <c r="A14" s="52" t="s">
        <v>66</v>
      </c>
      <c r="B14" s="52" t="s">
        <v>48</v>
      </c>
      <c r="C14" s="54">
        <v>81</v>
      </c>
      <c r="D14" s="64"/>
      <c r="E14" s="52"/>
      <c r="F14" s="52"/>
    </row>
    <row r="15" spans="1:6" x14ac:dyDescent="0.2">
      <c r="A15" s="52" t="s">
        <v>67</v>
      </c>
      <c r="B15" s="52" t="s">
        <v>50</v>
      </c>
      <c r="C15" s="65">
        <v>285</v>
      </c>
      <c r="D15" s="64"/>
      <c r="E15" s="52"/>
      <c r="F15" s="52"/>
    </row>
    <row r="16" spans="1:6" x14ac:dyDescent="0.2">
      <c r="A16" s="52" t="s">
        <v>81</v>
      </c>
      <c r="B16" s="52" t="s">
        <v>4</v>
      </c>
      <c r="C16" s="54">
        <v>2.11</v>
      </c>
      <c r="D16" s="52"/>
      <c r="E16" s="52"/>
      <c r="F16" s="52"/>
    </row>
    <row r="17" spans="1:6" x14ac:dyDescent="0.2">
      <c r="A17" s="52" t="s">
        <v>90</v>
      </c>
      <c r="B17" s="52" t="s">
        <v>82</v>
      </c>
      <c r="C17" s="54">
        <v>1550</v>
      </c>
      <c r="D17" s="52" t="s">
        <v>89</v>
      </c>
      <c r="E17" s="52"/>
      <c r="F17" s="52"/>
    </row>
    <row r="18" spans="1:6" x14ac:dyDescent="0.2">
      <c r="A18" s="52" t="s">
        <v>85</v>
      </c>
      <c r="B18" s="52" t="s">
        <v>83</v>
      </c>
      <c r="C18" s="54">
        <v>226</v>
      </c>
      <c r="D18" s="52" t="s">
        <v>87</v>
      </c>
      <c r="E18" s="52"/>
      <c r="F18" s="52"/>
    </row>
    <row r="19" spans="1:6" x14ac:dyDescent="0.2">
      <c r="A19" s="52" t="s">
        <v>91</v>
      </c>
      <c r="B19" s="52" t="s">
        <v>86</v>
      </c>
      <c r="C19" s="54">
        <v>2619.71</v>
      </c>
      <c r="D19" s="52" t="s">
        <v>88</v>
      </c>
      <c r="E19" s="52"/>
      <c r="F19" s="52"/>
    </row>
    <row r="20" spans="1:6" s="46" customFormat="1" ht="15" x14ac:dyDescent="0.25">
      <c r="A20" s="52" t="s">
        <v>92</v>
      </c>
      <c r="B20" s="52" t="s">
        <v>94</v>
      </c>
      <c r="C20" s="54">
        <v>11</v>
      </c>
      <c r="D20" s="52" t="s">
        <v>95</v>
      </c>
      <c r="E20" s="52"/>
      <c r="F20" s="52"/>
    </row>
    <row r="21" spans="1:6" s="39" customFormat="1" ht="15" x14ac:dyDescent="0.25">
      <c r="A21" s="52"/>
      <c r="B21" s="52" t="s">
        <v>84</v>
      </c>
      <c r="C21" s="54">
        <f>+(C17/980)+((C18*4)/980)+((C19/4)/980)+(C20/4)</f>
        <v>5.9223750000000006</v>
      </c>
      <c r="D21" s="52"/>
      <c r="E21" s="52"/>
      <c r="F21" s="52"/>
    </row>
    <row r="22" spans="1:6" x14ac:dyDescent="0.2">
      <c r="A22" s="52" t="s">
        <v>68</v>
      </c>
      <c r="B22" s="52" t="s">
        <v>6</v>
      </c>
      <c r="C22" s="54">
        <v>69.63</v>
      </c>
      <c r="D22" s="52" t="s">
        <v>99</v>
      </c>
      <c r="E22" s="52" t="s">
        <v>109</v>
      </c>
      <c r="F22" s="52"/>
    </row>
    <row r="23" spans="1:6" x14ac:dyDescent="0.2">
      <c r="A23" s="52" t="s">
        <v>102</v>
      </c>
      <c r="B23" s="52" t="s">
        <v>7</v>
      </c>
      <c r="C23" s="54">
        <v>25.4</v>
      </c>
      <c r="D23" s="52"/>
      <c r="E23" s="52" t="s">
        <v>110</v>
      </c>
      <c r="F23" s="52"/>
    </row>
    <row r="24" spans="1:6" x14ac:dyDescent="0.2">
      <c r="A24" s="52" t="s">
        <v>56</v>
      </c>
      <c r="B24" s="52" t="s">
        <v>8</v>
      </c>
      <c r="C24" s="54">
        <v>147.52000000000001</v>
      </c>
      <c r="D24" s="52" t="s">
        <v>105</v>
      </c>
      <c r="E24" s="52"/>
      <c r="F24" s="52"/>
    </row>
    <row r="25" spans="1:6" x14ac:dyDescent="0.2">
      <c r="A25" s="52" t="s">
        <v>77</v>
      </c>
      <c r="B25" s="52" t="s">
        <v>79</v>
      </c>
      <c r="C25" s="65">
        <v>98.93</v>
      </c>
      <c r="D25" s="52" t="s">
        <v>93</v>
      </c>
      <c r="E25" s="52" t="s">
        <v>111</v>
      </c>
      <c r="F25" s="52"/>
    </row>
    <row r="26" spans="1:6" s="52" customFormat="1" x14ac:dyDescent="0.2">
      <c r="A26" s="52" t="s">
        <v>78</v>
      </c>
      <c r="B26" s="52" t="s">
        <v>80</v>
      </c>
      <c r="C26" s="54">
        <v>20.37</v>
      </c>
      <c r="D26" s="52" t="s">
        <v>96</v>
      </c>
      <c r="E26" s="52" t="s">
        <v>111</v>
      </c>
    </row>
    <row r="27" spans="1:6" ht="15" x14ac:dyDescent="0.25">
      <c r="A27" s="39" t="s">
        <v>75</v>
      </c>
      <c r="C27" s="55">
        <v>7.0000000000000007E-2</v>
      </c>
      <c r="D27" s="33" t="s">
        <v>99</v>
      </c>
    </row>
    <row r="28" spans="1:6" ht="15" x14ac:dyDescent="0.25">
      <c r="A28" s="39" t="s">
        <v>76</v>
      </c>
      <c r="C28" s="56">
        <v>1</v>
      </c>
      <c r="D28" s="33" t="s">
        <v>113</v>
      </c>
    </row>
    <row r="30" spans="1:6" x14ac:dyDescent="0.2">
      <c r="A30" t="s">
        <v>114</v>
      </c>
      <c r="C30">
        <v>135</v>
      </c>
    </row>
    <row r="31" spans="1:6" x14ac:dyDescent="0.2">
      <c r="A31" t="s">
        <v>112</v>
      </c>
      <c r="C31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E6" workbookViewId="0">
      <selection activeCell="J19" sqref="J19: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97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7" t="s">
        <v>103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98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6"/>
      <c r="H8" s="67"/>
      <c r="I8" s="67"/>
      <c r="J8" s="68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8" t="s">
        <v>101</v>
      </c>
      <c r="E11" s="59" t="s">
        <v>100</v>
      </c>
      <c r="F11" s="26">
        <f t="shared" si="0"/>
        <v>9641.25</v>
      </c>
      <c r="G11" s="27">
        <f>+DATOS!C7*DATOS!$C$5</f>
        <v>17240.635000000002</v>
      </c>
      <c r="H11" s="27">
        <f t="shared" ref="H11:H20" si="3">G11*F11/$H$6</f>
        <v>227700.37286815071</v>
      </c>
      <c r="I11" s="27">
        <f t="shared" si="1"/>
        <v>311.91831899746671</v>
      </c>
      <c r="J11" s="27">
        <f t="shared" si="2"/>
        <v>155.95915949873336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685.21</v>
      </c>
      <c r="H12" s="27">
        <f t="shared" si="3"/>
        <v>3620.8185958904114</v>
      </c>
      <c r="I12" s="27">
        <f t="shared" si="1"/>
        <v>4.9600254738224816</v>
      </c>
      <c r="J12" s="27">
        <f t="shared" si="2"/>
        <v>2.4800127369112408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23628</v>
      </c>
      <c r="H13" s="27">
        <f t="shared" si="3"/>
        <v>1990.5780821917808</v>
      </c>
      <c r="I13" s="27">
        <f t="shared" si="1"/>
        <v>2.7268192906736726</v>
      </c>
      <c r="J13" s="27">
        <f t="shared" si="2"/>
        <v>1.3634096453368363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13740</v>
      </c>
      <c r="H14" s="27">
        <f t="shared" si="3"/>
        <v>776.40410958904113</v>
      </c>
      <c r="I14" s="27">
        <f t="shared" si="1"/>
        <v>1.0635672734096453</v>
      </c>
      <c r="J14" s="27">
        <f t="shared" si="2"/>
        <v>0.53178363670482265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2436</v>
      </c>
      <c r="H15" s="27">
        <f t="shared" si="3"/>
        <v>3003.2876712328766</v>
      </c>
      <c r="I15" s="27">
        <f t="shared" si="1"/>
        <v>4.1140927003190093</v>
      </c>
      <c r="J15" s="27">
        <f t="shared" si="2"/>
        <v>2.0570463501595047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25402.25</v>
      </c>
      <c r="H17" s="27">
        <f t="shared" si="3"/>
        <v>1811.5631986301371</v>
      </c>
      <c r="I17" s="27">
        <f t="shared" si="1"/>
        <v>2.4815934227810099</v>
      </c>
      <c r="J17" s="27">
        <f t="shared" si="2"/>
        <v>1.240796711390505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29605.5</v>
      </c>
      <c r="H18" s="27">
        <f t="shared" si="3"/>
        <v>855.72061643835627</v>
      </c>
      <c r="I18" s="27">
        <f t="shared" si="1"/>
        <v>1.1722200225182962</v>
      </c>
      <c r="J18" s="27">
        <f t="shared" si="2"/>
        <v>0.58611001125914808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369415.82748116442</v>
      </c>
      <c r="I19" s="29">
        <f t="shared" si="4"/>
        <v>506.04907874132118</v>
      </c>
      <c r="J19" s="29">
        <f t="shared" si="4"/>
        <v>253.02453937066059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285</v>
      </c>
      <c r="H20" s="31">
        <f t="shared" si="3"/>
        <v>210821.91780821918</v>
      </c>
      <c r="I20" s="31">
        <f>+H20/$H$6</f>
        <v>288.79714768249204</v>
      </c>
      <c r="J20" s="31">
        <f>I20/2</f>
        <v>144.39857384124602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69" t="s">
        <v>53</v>
      </c>
      <c r="E23" s="70"/>
      <c r="F23" s="70"/>
      <c r="G23" s="70"/>
      <c r="H23" s="70"/>
      <c r="I23" s="70"/>
      <c r="J23" s="70"/>
      <c r="K23" s="70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workbookViewId="0">
      <selection activeCell="D13" sqref="D13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/>
      <c r="D2" s="38">
        <f>+DATOS!C2</f>
        <v>45143</v>
      </c>
    </row>
    <row r="3" spans="1:13" x14ac:dyDescent="0.25">
      <c r="A3" s="2" t="s">
        <v>54</v>
      </c>
      <c r="B3" s="2"/>
      <c r="C3" s="61"/>
      <c r="D3" s="47">
        <f>D4+D5</f>
        <v>397.42311321190664</v>
      </c>
      <c r="E3" s="8"/>
      <c r="L3" s="3"/>
      <c r="M3" s="4"/>
    </row>
    <row r="4" spans="1:13" x14ac:dyDescent="0.25">
      <c r="A4" s="5"/>
      <c r="B4" s="6" t="s">
        <v>1</v>
      </c>
      <c r="C4" s="49"/>
      <c r="D4" s="48">
        <f>Insumos!J20</f>
        <v>144.39857384124602</v>
      </c>
      <c r="E4" s="8"/>
      <c r="L4" s="3"/>
      <c r="M4" s="4"/>
    </row>
    <row r="5" spans="1:13" x14ac:dyDescent="0.25">
      <c r="A5" s="6"/>
      <c r="B5" s="6" t="s">
        <v>2</v>
      </c>
      <c r="C5" s="49"/>
      <c r="D5" s="49">
        <f>+Insumos!J19</f>
        <v>253.02453937066059</v>
      </c>
      <c r="E5" s="8"/>
      <c r="L5" s="3"/>
      <c r="M5" s="4"/>
    </row>
    <row r="6" spans="1:13" x14ac:dyDescent="0.25">
      <c r="A6" s="2" t="s">
        <v>3</v>
      </c>
      <c r="B6" s="2"/>
      <c r="C6" s="61"/>
      <c r="D6" s="47">
        <f>D7+D8+D9+D10+D11+D12</f>
        <v>280.407375</v>
      </c>
      <c r="E6" s="8"/>
      <c r="L6" s="3"/>
      <c r="M6" s="4"/>
    </row>
    <row r="7" spans="1:13" x14ac:dyDescent="0.25">
      <c r="A7" s="6" t="s">
        <v>81</v>
      </c>
      <c r="B7" s="6" t="s">
        <v>4</v>
      </c>
      <c r="C7" s="49"/>
      <c r="D7" s="48">
        <f>+DATOS!C16</f>
        <v>2.11</v>
      </c>
      <c r="E7" s="8"/>
      <c r="L7" s="3"/>
      <c r="M7" s="4"/>
    </row>
    <row r="8" spans="1:13" x14ac:dyDescent="0.25">
      <c r="A8" s="6"/>
      <c r="B8" s="6" t="s">
        <v>5</v>
      </c>
      <c r="C8" s="49"/>
      <c r="D8" s="48">
        <f>+DATOS!C21</f>
        <v>5.9223750000000006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/>
      <c r="D9" s="48">
        <f>+DATOS!C22</f>
        <v>69.63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/>
      <c r="D10" s="48">
        <f>+DATOS!C23</f>
        <v>25.4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/>
      <c r="D11" s="48">
        <f>+DATOS!C24</f>
        <v>147.52000000000001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/>
      <c r="D12" s="48">
        <f>+(DATOS!C25+DATOS!C26)/4</f>
        <v>29.825000000000003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61"/>
      <c r="D13" s="47">
        <f>+(D3+D6)*$B$13</f>
        <v>135.56609764238132</v>
      </c>
      <c r="G13" s="44"/>
      <c r="L13" s="37"/>
      <c r="M13" s="40"/>
    </row>
    <row r="14" spans="1:13" x14ac:dyDescent="0.25">
      <c r="A14" s="2" t="s">
        <v>10</v>
      </c>
      <c r="B14" s="7"/>
      <c r="C14" s="62"/>
      <c r="D14" s="50">
        <f>D15+D16</f>
        <v>385</v>
      </c>
      <c r="L14" s="3"/>
      <c r="M14" s="4"/>
    </row>
    <row r="15" spans="1:13" x14ac:dyDescent="0.25">
      <c r="A15" s="6"/>
      <c r="B15" s="6" t="s">
        <v>11</v>
      </c>
      <c r="C15" s="49"/>
      <c r="D15" s="63">
        <v>135</v>
      </c>
      <c r="E15" s="8" t="s">
        <v>115</v>
      </c>
      <c r="G15" s="43"/>
      <c r="L15" s="3"/>
      <c r="M15" s="4"/>
    </row>
    <row r="16" spans="1:13" x14ac:dyDescent="0.25">
      <c r="A16" s="6"/>
      <c r="B16" s="6" t="s">
        <v>12</v>
      </c>
      <c r="C16" s="49"/>
      <c r="D16" s="48">
        <v>250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61"/>
      <c r="D17" s="47">
        <f>+D3+D6+D13+D14</f>
        <v>1198.3965858542879</v>
      </c>
      <c r="E17" s="60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4793.5863434171515</v>
      </c>
      <c r="L20" s="3"/>
      <c r="M20" s="4"/>
    </row>
    <row r="21" spans="1:13" x14ac:dyDescent="0.25">
      <c r="D21" s="34"/>
    </row>
    <row r="22" spans="1:13" ht="15" customHeight="1" x14ac:dyDescent="0.25">
      <c r="A22" s="72" t="s">
        <v>14</v>
      </c>
      <c r="B22" s="70"/>
      <c r="C22" s="70"/>
      <c r="D22" s="35"/>
      <c r="E22" s="9"/>
      <c r="F22" s="9"/>
      <c r="G22" s="9"/>
    </row>
    <row r="23" spans="1:13" ht="15" customHeight="1" x14ac:dyDescent="0.25">
      <c r="A23" s="71" t="s">
        <v>15</v>
      </c>
      <c r="B23" s="70"/>
      <c r="C23" s="70"/>
      <c r="D23" s="10"/>
      <c r="E23" s="10"/>
      <c r="F23" s="10"/>
      <c r="G23" s="10"/>
    </row>
    <row r="24" spans="1:13" ht="15" customHeight="1" x14ac:dyDescent="0.25">
      <c r="A24" s="71" t="s">
        <v>16</v>
      </c>
      <c r="B24" s="70"/>
      <c r="C24" s="70"/>
      <c r="D24" s="10"/>
      <c r="E24" s="10"/>
      <c r="F24" s="10"/>
      <c r="G24" s="10"/>
    </row>
    <row r="25" spans="1:13" ht="30.75" customHeight="1" x14ac:dyDescent="0.25">
      <c r="A25" s="71" t="s">
        <v>17</v>
      </c>
      <c r="B25" s="70"/>
      <c r="C25" s="70"/>
      <c r="D25" s="10"/>
      <c r="E25" s="10"/>
      <c r="F25" s="10"/>
      <c r="G25" s="10"/>
    </row>
    <row r="26" spans="1:13" ht="15" customHeight="1" x14ac:dyDescent="0.25">
      <c r="A26" s="71" t="s">
        <v>18</v>
      </c>
      <c r="B26" s="70"/>
      <c r="C26" s="70"/>
      <c r="D26" s="10"/>
      <c r="E26" s="10"/>
      <c r="F26" s="10"/>
      <c r="G26" s="10"/>
    </row>
    <row r="27" spans="1:13" ht="15" customHeight="1" x14ac:dyDescent="0.25">
      <c r="A27" s="71" t="s">
        <v>19</v>
      </c>
      <c r="B27" s="70"/>
      <c r="C27" s="70"/>
      <c r="D27" s="10"/>
      <c r="E27" s="10"/>
      <c r="F27" s="10"/>
      <c r="G27" s="10"/>
    </row>
    <row r="28" spans="1:13" ht="15" customHeight="1" x14ac:dyDescent="0.25">
      <c r="A28" s="71" t="s">
        <v>20</v>
      </c>
      <c r="B28" s="70"/>
      <c r="C28" s="70"/>
      <c r="D28" s="10"/>
      <c r="E28" s="10"/>
      <c r="F28" s="10"/>
      <c r="G28" s="10"/>
    </row>
    <row r="29" spans="1:13" ht="15" customHeight="1" x14ac:dyDescent="0.25">
      <c r="A29" s="71" t="s">
        <v>21</v>
      </c>
      <c r="B29" s="70"/>
      <c r="C29" s="70"/>
      <c r="D29" s="10"/>
      <c r="E29" s="10"/>
      <c r="F29" s="10"/>
      <c r="G29" s="10"/>
    </row>
    <row r="30" spans="1:13" ht="16.5" customHeight="1" x14ac:dyDescent="0.25">
      <c r="A30" s="71" t="s">
        <v>22</v>
      </c>
      <c r="B30" s="70"/>
      <c r="C30" s="70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2023-08-14T17:23:35Z</dcterms:modified>
</cp:coreProperties>
</file>