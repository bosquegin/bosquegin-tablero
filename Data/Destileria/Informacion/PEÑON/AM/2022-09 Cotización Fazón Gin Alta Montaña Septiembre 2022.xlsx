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91B90170-DF61-4D8E-B06D-D3545F3435D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40" i="3" l="1"/>
  <c r="G39" i="3"/>
  <c r="C35" i="3"/>
  <c r="D16" i="1" l="1"/>
  <c r="D15" i="1"/>
  <c r="D12" i="1"/>
  <c r="D11" i="1"/>
  <c r="D10" i="1"/>
  <c r="D9" i="1"/>
  <c r="D7" i="1"/>
  <c r="G11" i="2"/>
  <c r="G10" i="2"/>
  <c r="D8" i="1"/>
  <c r="G12" i="1"/>
  <c r="G20" i="2"/>
  <c r="G18" i="2"/>
  <c r="G17" i="2"/>
  <c r="G16" i="2"/>
  <c r="G15" i="2"/>
  <c r="G14" i="2"/>
  <c r="G13" i="2"/>
  <c r="G12" i="2"/>
  <c r="C17" i="1"/>
  <c r="D2" i="1"/>
  <c r="C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  <c r="E20" i="1" s="1"/>
</calcChain>
</file>

<file path=xl/sharedStrings.xml><?xml version="1.0" encoding="utf-8"?>
<sst xmlns="http://schemas.openxmlformats.org/spreadsheetml/2006/main" count="140" uniqueCount="110">
  <si>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</si>
  <si>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</si>
  <si>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</si>
  <si>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</si>
  <si>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</si>
  <si>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</si>
  <si>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</si>
  <si>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</si>
  <si>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</si>
  <si>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</si>
  <si>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</si>
  <si>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</si>
  <si>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</si>
  <si>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</si>
  <si>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</si>
  <si>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</si>
  <si>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</si>
  <si>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</si>
  <si>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</si>
  <si>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</si>
  <si>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</si>
  <si>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</si>
  <si>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</si>
  <si>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</si>
  <si>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</si>
  <si>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</si>
  <si>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</si>
  <si>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</si>
  <si>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</si>
  <si>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</si>
  <si>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</si>
  <si>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</si>
  <si>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</si>
  <si>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</si>
  <si>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</si>
  <si>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</si>
  <si>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</si>
  <si>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</si>
  <si>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</si>
  <si>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</si>
  <si>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</si>
  <si>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</si>
  <si>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</si>
  <si>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</si>
  <si>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</si>
  <si>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</si>
  <si>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</si>
  <si>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</si>
  <si>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</si>
  <si>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</si>
  <si>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</si>
  <si>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</si>
  <si>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</si>
  <si>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</si>
  <si>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</si>
  <si>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</si>
  <si>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</si>
  <si>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</si>
  <si>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</si>
  <si>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</si>
  <si>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</si>
  <si>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</si>
  <si>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</si>
  <si>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</si>
  <si>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</si>
  <si>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</si>
  <si>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</si>
  <si>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</si>
  <si>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</si>
  <si>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</si>
  <si>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</si>
  <si>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</si>
  <si>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</si>
  <si>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* aumento 18% sueldos Julio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</si>
  <si>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</si>
  <si>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</si>
  <si>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</si>
  <si>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</si>
  <si>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</si>
  <si>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</si>
  <si>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</si>
  <si>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* Ej. Al 31/08 - tomar Julio</t>
  </si>
  <si>
    <t>*7,4% inflación indec (Julio)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</si>
  <si>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</si>
  <si>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</si>
  <si>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</si>
  <si>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</si>
  <si>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</si>
  <si>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</si>
  <si>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</si>
  <si>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</si>
  <si>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</si>
  <si>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</si>
  <si>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</si>
  <si>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</si>
  <si>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</si>
  <si>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</si>
  <si>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</si>
  <si>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</si>
  <si>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</si>
  <si>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</si>
  <si>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</si>
  <si>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</si>
  <si>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</si>
  <si>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</si>
  <si>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</si>
  <si>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</si>
  <si>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sin aumento Agosto</t>
  </si>
  <si>
    <t>Gin Bosque Alta Montaña</t>
  </si>
  <si>
    <t>Gin terminado (53%)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</si>
</sst>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.000_);_(&quot;$&quot;\ * \(#,##0.000\);_(&quot;$&quot;\ * &quot;-&quot;??_);_(@_)"/>
    <numFmt numFmtId="166" formatCode="dd/mm/yy"/>
  </numFmts>
  <fonts count="13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sz val="9"/>
      <color rgb="FFFFFFFF"/>
      <name val="Calibri"/>
      <family val="2"/>
      <scheme val="major"/>
    </font>
    <font>
      <b/>
      <u/>
      <sz val="9"/>
      <color theme="1"/>
      <name val="Calibri"/>
      <family val="2"/>
      <scheme val="major"/>
    </font>
    <font>
      <sz val="9"/>
      <name val="Calibri"/>
      <family val="2"/>
      <scheme val="major"/>
    </font>
    <font>
      <i/>
      <sz val="9"/>
      <color theme="1"/>
      <name val="Calibri"/>
      <family val="2"/>
      <scheme val="major"/>
    </font>
    <font>
      <b/>
      <sz val="9"/>
      <color rgb="FFFF0000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43" fontId="0" fillId="0" borderId="0" xfId="1" applyFont="1" applyAlignment="1"/>
    <xf numFmtId="14" fontId="0" fillId="2" borderId="0" xfId="0" applyNumberFormat="1" applyFill="1"/>
    <xf numFmtId="10" fontId="0" fillId="2" borderId="0" xfId="0" applyNumberFormat="1" applyFill="1"/>
    <xf numFmtId="43" fontId="0" fillId="2" borderId="0" xfId="1" applyFont="1" applyFill="1" applyAlignment="1"/>
    <xf numFmtId="43" fontId="3" fillId="2" borderId="0" xfId="1" applyFont="1" applyFill="1" applyAlignment="1"/>
    <xf numFmtId="0" fontId="5" fillId="0" borderId="0" xfId="0" applyFont="1"/>
    <xf numFmtId="43" fontId="5" fillId="2" borderId="0" xfId="1" applyFont="1" applyFill="1" applyAlignment="1"/>
    <xf numFmtId="14" fontId="3" fillId="0" borderId="0" xfId="0" applyNumberFormat="1" applyFont="1"/>
    <xf numFmtId="0" fontId="1" fillId="0" borderId="0" xfId="0" applyFont="1"/>
    <xf numFmtId="43" fontId="1" fillId="2" borderId="0" xfId="1" applyFont="1" applyFill="1" applyAlignme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12" fontId="6" fillId="0" borderId="0" xfId="0" applyNumberFormat="1" applyFont="1"/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6" fillId="0" borderId="1" xfId="0" applyNumberFormat="1" applyFont="1" applyBorder="1"/>
    <xf numFmtId="14" fontId="6" fillId="2" borderId="1" xfId="0" applyNumberFormat="1" applyFont="1" applyFill="1" applyBorder="1"/>
    <xf numFmtId="14" fontId="6" fillId="0" borderId="1" xfId="0" applyNumberFormat="1" applyFont="1" applyBorder="1"/>
    <xf numFmtId="43" fontId="6" fillId="0" borderId="1" xfId="1" applyFont="1" applyBorder="1"/>
    <xf numFmtId="0" fontId="11" fillId="0" borderId="0" xfId="0" applyFont="1"/>
    <xf numFmtId="164" fontId="7" fillId="0" borderId="0" xfId="0" applyNumberFormat="1" applyFont="1"/>
    <xf numFmtId="165" fontId="7" fillId="0" borderId="0" xfId="0" applyNumberFormat="1" applyFont="1"/>
    <xf numFmtId="43" fontId="7" fillId="0" borderId="1" xfId="1" applyFont="1" applyBorder="1"/>
    <xf numFmtId="43" fontId="7" fillId="0" borderId="1" xfId="1" applyFont="1" applyFill="1" applyBorder="1"/>
    <xf numFmtId="165" fontId="6" fillId="0" borderId="1" xfId="0" applyNumberFormat="1" applyFont="1" applyBorder="1"/>
    <xf numFmtId="165" fontId="7" fillId="0" borderId="1" xfId="0" applyNumberFormat="1" applyFont="1" applyBorder="1"/>
    <xf numFmtId="0" fontId="12" fillId="0" borderId="0" xfId="0" applyFont="1"/>
    <xf numFmtId="44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44" fontId="7" fillId="0" borderId="0" xfId="0" applyNumberFormat="1" applyFont="1"/>
    <xf numFmtId="44" fontId="7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44" fontId="6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6" fillId="0" borderId="0" xfId="0" applyFont="1" applyAlignment="1">
      <alignment horizontal="left" wrapText="1"/>
    </xf>
    <xf numFmtId="166" fontId="6" fillId="0" borderId="2" xfId="0" applyNumberFormat="1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0" fontId="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18" workbookViewId="0">
      <selection activeCell="C27" sqref="C27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2" t="s">
        <v>75</v>
      </c>
      <c r="C2" s="5">
        <v>44774</v>
      </c>
      <c r="D2" s="5">
        <v>44805</v>
      </c>
    </row>
    <row r="3" spans="1:4" x14ac:dyDescent="0.2">
      <c r="C3" s="3"/>
      <c r="D3" s="3"/>
    </row>
    <row r="4" spans="1:4" x14ac:dyDescent="0.2">
      <c r="A4" s="45" t="s">
        <v>78</v>
      </c>
      <c r="B4" s="45"/>
      <c r="C4" s="4">
        <v>102.76258043055556</v>
      </c>
    </row>
    <row r="5" spans="1:4" x14ac:dyDescent="0.2">
      <c r="A5" s="1" t="s">
        <v>106</v>
      </c>
      <c r="C5" s="4">
        <v>40.799999999999997</v>
      </c>
    </row>
    <row r="6" spans="1:4" x14ac:dyDescent="0.2">
      <c r="C6" s="4">
        <v>61.962580430555562</v>
      </c>
    </row>
    <row r="7" spans="1:4" x14ac:dyDescent="0.2">
      <c r="C7" s="4">
        <v>149.11000000000001</v>
      </c>
    </row>
    <row r="8" spans="1:4" x14ac:dyDescent="0.2">
      <c r="C8" s="4">
        <v>0.9</v>
      </c>
    </row>
    <row r="9" spans="1:4" x14ac:dyDescent="0.2">
      <c r="C9" s="4">
        <v>1.88</v>
      </c>
    </row>
    <row r="10" spans="1:4" x14ac:dyDescent="0.2">
      <c r="C10" s="4">
        <v>45.6</v>
      </c>
    </row>
    <row r="11" spans="1:4" x14ac:dyDescent="0.2">
      <c r="C11" s="4">
        <v>13.12</v>
      </c>
    </row>
    <row r="12" spans="1:4" x14ac:dyDescent="0.2">
      <c r="C12" s="4">
        <v>66.36</v>
      </c>
    </row>
    <row r="13" spans="1:4" x14ac:dyDescent="0.2">
      <c r="C13" s="4">
        <v>21.25</v>
      </c>
    </row>
    <row r="14" spans="1:4" x14ac:dyDescent="0.2">
      <c r="C14" s="4">
        <v>50.374516086111115</v>
      </c>
    </row>
    <row r="15" spans="1:4" x14ac:dyDescent="0.2">
      <c r="C15" s="4">
        <v>89.96486868566447</v>
      </c>
    </row>
    <row r="16" spans="1:4" x14ac:dyDescent="0.2">
      <c r="C16" s="4">
        <v>40.298668685664481</v>
      </c>
    </row>
    <row r="17" spans="1:4" x14ac:dyDescent="0.2">
      <c r="C17" s="4">
        <v>49.666199999999996</v>
      </c>
    </row>
    <row r="19" spans="1:4" ht="15" x14ac:dyDescent="0.25">
      <c r="A19" s="2" t="s">
        <v>79</v>
      </c>
      <c r="B19" s="11">
        <v>44804</v>
      </c>
      <c r="C19" s="8">
        <v>145</v>
      </c>
      <c r="D19" s="2"/>
    </row>
    <row r="20" spans="1:4" x14ac:dyDescent="0.2">
      <c r="A20" t="s">
        <v>60</v>
      </c>
      <c r="B20" t="s">
        <v>41</v>
      </c>
      <c r="C20" s="7">
        <v>4860</v>
      </c>
      <c r="D20" s="4"/>
    </row>
    <row r="21" spans="1:4" x14ac:dyDescent="0.2">
      <c r="A21" t="s">
        <v>61</v>
      </c>
      <c r="B21" t="s">
        <v>42</v>
      </c>
      <c r="C21" s="7">
        <v>6006</v>
      </c>
      <c r="D21" s="4"/>
    </row>
    <row r="22" spans="1:4" x14ac:dyDescent="0.2">
      <c r="A22" t="s">
        <v>62</v>
      </c>
      <c r="B22" t="s">
        <v>43</v>
      </c>
      <c r="C22" s="7">
        <v>322</v>
      </c>
      <c r="D22" s="4"/>
    </row>
    <row r="23" spans="1:4" x14ac:dyDescent="0.2">
      <c r="A23" t="s">
        <v>63</v>
      </c>
      <c r="B23" t="s">
        <v>44</v>
      </c>
      <c r="C23" s="7">
        <v>18200</v>
      </c>
      <c r="D23" s="4"/>
    </row>
    <row r="24" spans="1:4" x14ac:dyDescent="0.2">
      <c r="A24" t="s">
        <v>64</v>
      </c>
      <c r="B24" t="s">
        <v>45</v>
      </c>
      <c r="C24" s="7">
        <v>3404</v>
      </c>
      <c r="D24" s="4"/>
    </row>
    <row r="25" spans="1:4" x14ac:dyDescent="0.2">
      <c r="A25" t="s">
        <v>65</v>
      </c>
      <c r="B25" t="s">
        <v>46</v>
      </c>
      <c r="C25" s="7">
        <v>753</v>
      </c>
      <c r="D25" s="4"/>
    </row>
    <row r="26" spans="1:4" x14ac:dyDescent="0.2">
      <c r="A26" t="s">
        <v>66</v>
      </c>
      <c r="B26" t="s">
        <v>47</v>
      </c>
      <c r="C26" s="7">
        <v>8892.75</v>
      </c>
      <c r="D26" s="4"/>
    </row>
    <row r="27" spans="1:4" x14ac:dyDescent="0.2">
      <c r="A27" t="s">
        <v>67</v>
      </c>
      <c r="B27" t="s">
        <v>48</v>
      </c>
      <c r="C27" s="7">
        <v>69.5</v>
      </c>
      <c r="D27" s="4"/>
    </row>
    <row r="28" spans="1:4" x14ac:dyDescent="0.2">
      <c r="A28" t="s">
        <v>68</v>
      </c>
      <c r="B28" t="s">
        <v>49</v>
      </c>
      <c r="C28" s="7">
        <v>81</v>
      </c>
      <c r="D28" s="4"/>
    </row>
    <row r="29" spans="1:4" x14ac:dyDescent="0.2">
      <c r="A29" t="s">
        <v>69</v>
      </c>
      <c r="B29" t="s">
        <v>51</v>
      </c>
      <c r="C29" s="7">
        <v>136</v>
      </c>
      <c r="D29" s="4"/>
    </row>
    <row r="30" spans="1:4" x14ac:dyDescent="0.2">
      <c r="A30" t="s">
        <v>88</v>
      </c>
      <c r="B30" t="s">
        <v>4</v>
      </c>
      <c r="C30" s="7">
        <v>0.95</v>
      </c>
    </row>
    <row r="31" spans="1:4" x14ac:dyDescent="0.2">
      <c r="A31" s="1" t="s">
        <v>97</v>
      </c>
      <c r="B31" t="s">
        <v>89</v>
      </c>
      <c r="C31" s="7">
        <v>987.91</v>
      </c>
      <c r="D31" s="1" t="s">
        <v>96</v>
      </c>
    </row>
    <row r="32" spans="1:4" x14ac:dyDescent="0.2">
      <c r="A32" s="1" t="s">
        <v>92</v>
      </c>
      <c r="B32" t="s">
        <v>90</v>
      </c>
      <c r="C32" s="7">
        <v>115</v>
      </c>
      <c r="D32" s="1" t="s">
        <v>94</v>
      </c>
    </row>
    <row r="33" spans="1:7" x14ac:dyDescent="0.2">
      <c r="A33" s="1" t="s">
        <v>98</v>
      </c>
      <c r="B33" s="1" t="s">
        <v>93</v>
      </c>
      <c r="C33" s="7">
        <v>1958.06</v>
      </c>
      <c r="D33" s="1" t="s">
        <v>95</v>
      </c>
    </row>
    <row r="34" spans="1:7" s="9" customFormat="1" ht="15" x14ac:dyDescent="0.25">
      <c r="A34" s="9" t="s">
        <v>99</v>
      </c>
      <c r="B34" s="9" t="s">
        <v>101</v>
      </c>
      <c r="C34" s="10">
        <v>12.55</v>
      </c>
      <c r="D34" s="9" t="s">
        <v>103</v>
      </c>
      <c r="F34" s="9">
        <v>12.55</v>
      </c>
    </row>
    <row r="35" spans="1:7" s="2" customFormat="1" ht="15" x14ac:dyDescent="0.25">
      <c r="B35" s="2" t="s">
        <v>91</v>
      </c>
      <c r="C35" s="8">
        <f>+(C31/980)+((C32*4)/980)+((C33/4)/980)+(C34/4)</f>
        <v>5.1144642857142859</v>
      </c>
    </row>
    <row r="36" spans="1:7" x14ac:dyDescent="0.2">
      <c r="A36" t="s">
        <v>70</v>
      </c>
      <c r="B36" t="s">
        <v>6</v>
      </c>
      <c r="C36" s="7">
        <v>50.7</v>
      </c>
    </row>
    <row r="37" spans="1:7" x14ac:dyDescent="0.2">
      <c r="A37" t="s">
        <v>59</v>
      </c>
      <c r="B37" t="s">
        <v>7</v>
      </c>
      <c r="C37" s="7">
        <v>20.6</v>
      </c>
    </row>
    <row r="38" spans="1:7" x14ac:dyDescent="0.2">
      <c r="A38" t="s">
        <v>57</v>
      </c>
      <c r="B38" t="s">
        <v>8</v>
      </c>
      <c r="C38" s="7">
        <v>66.36</v>
      </c>
    </row>
    <row r="39" spans="1:7" x14ac:dyDescent="0.2">
      <c r="A39" t="s">
        <v>84</v>
      </c>
      <c r="B39" t="s">
        <v>86</v>
      </c>
      <c r="C39" s="7">
        <v>58.13</v>
      </c>
      <c r="D39" s="1" t="s">
        <v>100</v>
      </c>
      <c r="G39" s="53">
        <f>+C39+C40</f>
        <v>79.89</v>
      </c>
    </row>
    <row r="40" spans="1:7" s="12" customFormat="1" x14ac:dyDescent="0.2">
      <c r="A40" s="12" t="s">
        <v>85</v>
      </c>
      <c r="B40" s="12" t="s">
        <v>87</v>
      </c>
      <c r="C40" s="13">
        <v>21.76</v>
      </c>
      <c r="D40" s="12" t="s">
        <v>104</v>
      </c>
      <c r="G40" s="12">
        <f>+G39/3.7589</f>
        <v>21.253558221820214</v>
      </c>
    </row>
    <row r="41" spans="1:7" ht="15" x14ac:dyDescent="0.25">
      <c r="A41" s="2" t="s">
        <v>80</v>
      </c>
      <c r="C41" s="6">
        <v>7.3999999999999996E-2</v>
      </c>
      <c r="D41" t="s">
        <v>81</v>
      </c>
    </row>
    <row r="42" spans="1:7" ht="15" x14ac:dyDescent="0.25">
      <c r="A42" s="2" t="s">
        <v>83</v>
      </c>
      <c r="C42" s="7">
        <v>0</v>
      </c>
      <c r="D42" s="1" t="s">
        <v>107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3"/>
  <sheetViews>
    <sheetView tabSelected="1" workbookViewId="0">
      <selection activeCell="D3" sqref="D3"/>
    </sheetView>
  </sheetViews>
  <sheetFormatPr baseColWidth="10" defaultColWidth="12.625" defaultRowHeight="12" x14ac:dyDescent="0.2"/>
  <cols>
    <col min="1" max="1" width="20.875" style="15" bestFit="1" customWidth="1"/>
    <col min="2" max="2" width="57.5" style="15" bestFit="1" customWidth="1"/>
    <col min="3" max="3" width="29" style="15" bestFit="1" customWidth="1"/>
    <col min="4" max="4" width="8.25" style="15" bestFit="1" customWidth="1"/>
    <col min="5" max="5" width="27.75" style="15" bestFit="1" customWidth="1"/>
    <col min="6" max="6" width="0.125" style="15" customWidth="1"/>
    <col min="7" max="7" width="6.125" style="15" bestFit="1" customWidth="1"/>
    <col min="8" max="8" width="0.125" style="15" customWidth="1"/>
    <col min="9" max="27" width="9.375" style="15" customWidth="1"/>
    <col min="28" max="16384" width="12.625" style="15"/>
  </cols>
  <sheetData>
    <row r="2" spans="1:13" x14ac:dyDescent="0.2">
      <c r="A2" s="21" t="s">
        <v>75</v>
      </c>
      <c r="B2" s="21" t="s">
        <v>0</v>
      </c>
      <c r="C2" s="25">
        <f>+Datos!C2</f>
        <v>44774</v>
      </c>
      <c r="D2" s="26">
        <f>+Datos!D2</f>
        <v>44805</v>
      </c>
    </row>
    <row r="3" spans="1:13" x14ac:dyDescent="0.2">
      <c r="A3" s="21" t="s">
        <v>55</v>
      </c>
      <c r="B3" s="21"/>
      <c r="C3" s="24">
        <v>102.76258043055556</v>
      </c>
      <c r="D3" s="27">
        <f>D4+D5</f>
        <v>127.89513927226025</v>
      </c>
      <c r="E3" s="28" t="s">
        <v>102</v>
      </c>
      <c r="L3" s="29"/>
      <c r="M3" s="30"/>
    </row>
    <row r="4" spans="1:13" x14ac:dyDescent="0.2">
      <c r="A4" s="22"/>
      <c r="B4" s="22" t="s">
        <v>1</v>
      </c>
      <c r="C4" s="23">
        <v>40.799999999999997</v>
      </c>
      <c r="D4" s="31">
        <f>Insumos!J20</f>
        <v>50.301369863013697</v>
      </c>
      <c r="E4" s="28"/>
      <c r="L4" s="29"/>
      <c r="M4" s="30"/>
    </row>
    <row r="5" spans="1:13" x14ac:dyDescent="0.2">
      <c r="A5" s="22"/>
      <c r="B5" s="22" t="s">
        <v>2</v>
      </c>
      <c r="C5" s="23">
        <v>61.962580430555562</v>
      </c>
      <c r="D5" s="32">
        <f>+Insumos!J19</f>
        <v>77.593769409246562</v>
      </c>
      <c r="E5" s="28"/>
      <c r="L5" s="29"/>
      <c r="M5" s="30"/>
    </row>
    <row r="6" spans="1:13" x14ac:dyDescent="0.2">
      <c r="A6" s="21" t="s">
        <v>3</v>
      </c>
      <c r="B6" s="21"/>
      <c r="C6" s="33">
        <v>149.11000000000001</v>
      </c>
      <c r="D6" s="27">
        <f>D7+D8+D9+D10+D11+D12</f>
        <v>164.9744642857143</v>
      </c>
      <c r="E6" s="28"/>
      <c r="L6" s="29"/>
      <c r="M6" s="30"/>
    </row>
    <row r="7" spans="1:13" x14ac:dyDescent="0.2">
      <c r="A7" s="22" t="s">
        <v>88</v>
      </c>
      <c r="B7" s="22" t="s">
        <v>4</v>
      </c>
      <c r="C7" s="34">
        <v>0.9</v>
      </c>
      <c r="D7" s="31">
        <f>+Datos!C30</f>
        <v>0.95</v>
      </c>
      <c r="E7" s="28"/>
      <c r="L7" s="29"/>
      <c r="M7" s="30"/>
    </row>
    <row r="8" spans="1:13" x14ac:dyDescent="0.2">
      <c r="A8" s="22"/>
      <c r="B8" s="22" t="s">
        <v>5</v>
      </c>
      <c r="C8" s="34">
        <v>1.88</v>
      </c>
      <c r="D8" s="31">
        <f>+Datos!C35</f>
        <v>5.1144642857142859</v>
      </c>
      <c r="E8" s="28" t="s">
        <v>105</v>
      </c>
      <c r="L8" s="29"/>
      <c r="M8" s="30"/>
    </row>
    <row r="9" spans="1:13" x14ac:dyDescent="0.2">
      <c r="A9" s="22" t="s">
        <v>70</v>
      </c>
      <c r="B9" s="22" t="s">
        <v>6</v>
      </c>
      <c r="C9" s="23">
        <v>45.6</v>
      </c>
      <c r="D9" s="31">
        <f>+Datos!C36</f>
        <v>50.7</v>
      </c>
      <c r="L9" s="29"/>
      <c r="M9" s="30"/>
    </row>
    <row r="10" spans="1:13" x14ac:dyDescent="0.2">
      <c r="A10" s="22" t="s">
        <v>59</v>
      </c>
      <c r="B10" s="22" t="s">
        <v>7</v>
      </c>
      <c r="C10" s="23">
        <v>13.12</v>
      </c>
      <c r="D10" s="31">
        <f>+Datos!C37</f>
        <v>20.6</v>
      </c>
      <c r="L10" s="29"/>
      <c r="M10" s="30"/>
    </row>
    <row r="11" spans="1:13" x14ac:dyDescent="0.2">
      <c r="A11" s="22" t="s">
        <v>57</v>
      </c>
      <c r="B11" s="22" t="s">
        <v>8</v>
      </c>
      <c r="C11" s="23">
        <v>66.36</v>
      </c>
      <c r="D11" s="31">
        <f>+Datos!C38</f>
        <v>66.36</v>
      </c>
      <c r="L11" s="29"/>
      <c r="M11" s="30"/>
    </row>
    <row r="12" spans="1:13" x14ac:dyDescent="0.2">
      <c r="A12" s="22" t="s">
        <v>58</v>
      </c>
      <c r="B12" s="22" t="s">
        <v>9</v>
      </c>
      <c r="C12" s="23">
        <v>21.25</v>
      </c>
      <c r="D12" s="31">
        <f>+C12</f>
        <v>21.25</v>
      </c>
      <c r="G12" s="35">
        <f>+(58.13+21.76)/4</f>
        <v>19.9725</v>
      </c>
      <c r="L12" s="29"/>
      <c r="M12" s="30"/>
    </row>
    <row r="13" spans="1:13" s="14" customFormat="1" x14ac:dyDescent="0.2">
      <c r="A13" s="21" t="s">
        <v>74</v>
      </c>
      <c r="B13" s="21">
        <v>0.2</v>
      </c>
      <c r="C13" s="24">
        <v>50.374516086111115</v>
      </c>
      <c r="D13" s="27">
        <f>+(D3+D6)*$B$13</f>
        <v>58.573920711594909</v>
      </c>
      <c r="G13" s="36"/>
      <c r="L13" s="37"/>
      <c r="M13" s="38"/>
    </row>
    <row r="14" spans="1:13" x14ac:dyDescent="0.2">
      <c r="A14" s="21" t="s">
        <v>10</v>
      </c>
      <c r="B14" s="21"/>
      <c r="C14" s="24">
        <v>89.96486868566447</v>
      </c>
      <c r="D14" s="27">
        <f>D15+D16</f>
        <v>92.946970168403652</v>
      </c>
      <c r="L14" s="29"/>
      <c r="M14" s="30"/>
    </row>
    <row r="15" spans="1:13" x14ac:dyDescent="0.2">
      <c r="A15" s="22"/>
      <c r="B15" s="22" t="s">
        <v>11</v>
      </c>
      <c r="C15" s="23">
        <v>40.298668685664481</v>
      </c>
      <c r="D15" s="31">
        <f>C15*(1+Datos!C41)</f>
        <v>43.280770168403656</v>
      </c>
      <c r="E15" s="28" t="s">
        <v>82</v>
      </c>
      <c r="G15" s="39"/>
      <c r="L15" s="29"/>
      <c r="M15" s="30"/>
    </row>
    <row r="16" spans="1:13" x14ac:dyDescent="0.2">
      <c r="A16" s="22"/>
      <c r="B16" s="22" t="s">
        <v>12</v>
      </c>
      <c r="C16" s="23">
        <v>49.666199999999996</v>
      </c>
      <c r="D16" s="31">
        <f>+C16*(1+Datos!C42)</f>
        <v>49.666199999999996</v>
      </c>
      <c r="E16" s="28" t="s">
        <v>73</v>
      </c>
      <c r="G16" s="39"/>
      <c r="L16" s="29"/>
      <c r="M16" s="30"/>
    </row>
    <row r="17" spans="1:13" x14ac:dyDescent="0.2">
      <c r="A17" s="21"/>
      <c r="B17" s="21" t="s">
        <v>13</v>
      </c>
      <c r="C17" s="24">
        <f>+C3+C6+C13+C14</f>
        <v>392.21196520233116</v>
      </c>
      <c r="D17" s="27">
        <f>+D3+D6+D13+D14</f>
        <v>444.39049443797308</v>
      </c>
      <c r="L17" s="29"/>
      <c r="M17" s="30"/>
    </row>
    <row r="18" spans="1:13" x14ac:dyDescent="0.2">
      <c r="A18" s="14"/>
      <c r="B18" s="14"/>
      <c r="C18" s="37"/>
      <c r="D18" s="37"/>
      <c r="L18" s="29"/>
      <c r="M18" s="30"/>
    </row>
    <row r="19" spans="1:13" x14ac:dyDescent="0.2">
      <c r="A19" s="14"/>
      <c r="B19" s="14"/>
      <c r="C19" s="37"/>
      <c r="D19" s="37"/>
      <c r="L19" s="29"/>
      <c r="M19" s="30"/>
    </row>
    <row r="20" spans="1:13" x14ac:dyDescent="0.2">
      <c r="A20" s="14"/>
      <c r="B20" s="14"/>
      <c r="C20" s="37" t="s">
        <v>72</v>
      </c>
      <c r="D20" s="37">
        <f>+D17*4</f>
        <v>1777.5619777518923</v>
      </c>
      <c r="E20" s="15">
        <f>+D20/4</f>
        <v>444.39049443797308</v>
      </c>
      <c r="L20" s="29"/>
      <c r="M20" s="30"/>
    </row>
    <row r="21" spans="1:13" x14ac:dyDescent="0.2">
      <c r="D21" s="40"/>
    </row>
    <row r="22" spans="1:13" x14ac:dyDescent="0.2">
      <c r="A22" s="48" t="s">
        <v>14</v>
      </c>
      <c r="B22" s="47"/>
      <c r="C22" s="47"/>
      <c r="D22" s="42"/>
      <c r="E22" s="41"/>
      <c r="F22" s="41"/>
      <c r="G22" s="41"/>
    </row>
    <row r="23" spans="1:13" x14ac:dyDescent="0.2">
      <c r="A23" s="46" t="s">
        <v>15</v>
      </c>
      <c r="B23" s="47"/>
      <c r="C23" s="47"/>
      <c r="D23" s="43"/>
      <c r="E23" s="43"/>
      <c r="F23" s="43"/>
      <c r="G23" s="43"/>
    </row>
    <row r="24" spans="1:13" x14ac:dyDescent="0.2">
      <c r="A24" s="46" t="s">
        <v>16</v>
      </c>
      <c r="B24" s="47"/>
      <c r="C24" s="47"/>
      <c r="D24" s="43"/>
      <c r="E24" s="43"/>
      <c r="F24" s="43"/>
      <c r="G24" s="43"/>
    </row>
    <row r="25" spans="1:13" x14ac:dyDescent="0.2">
      <c r="A25" s="46" t="s">
        <v>17</v>
      </c>
      <c r="B25" s="47"/>
      <c r="C25" s="47"/>
      <c r="D25" s="43"/>
      <c r="E25" s="43"/>
      <c r="F25" s="43"/>
      <c r="G25" s="43"/>
    </row>
    <row r="26" spans="1:13" x14ac:dyDescent="0.2">
      <c r="A26" s="46" t="s">
        <v>18</v>
      </c>
      <c r="B26" s="47"/>
      <c r="C26" s="47"/>
      <c r="D26" s="43"/>
      <c r="E26" s="43"/>
      <c r="F26" s="43"/>
      <c r="G26" s="43"/>
    </row>
    <row r="27" spans="1:13" x14ac:dyDescent="0.2">
      <c r="A27" s="46" t="s">
        <v>19</v>
      </c>
      <c r="B27" s="47"/>
      <c r="C27" s="47"/>
      <c r="D27" s="43"/>
      <c r="E27" s="43"/>
      <c r="F27" s="43"/>
      <c r="G27" s="43"/>
    </row>
    <row r="28" spans="1:13" x14ac:dyDescent="0.2">
      <c r="A28" s="46" t="s">
        <v>20</v>
      </c>
      <c r="B28" s="47"/>
      <c r="C28" s="47"/>
      <c r="D28" s="43"/>
      <c r="E28" s="43"/>
      <c r="F28" s="43"/>
      <c r="G28" s="43"/>
    </row>
    <row r="29" spans="1:13" x14ac:dyDescent="0.2">
      <c r="A29" s="46" t="s">
        <v>21</v>
      </c>
      <c r="B29" s="47"/>
      <c r="C29" s="47"/>
      <c r="D29" s="43"/>
      <c r="E29" s="43"/>
      <c r="F29" s="43"/>
      <c r="G29" s="43"/>
    </row>
    <row r="30" spans="1:13" x14ac:dyDescent="0.2">
      <c r="A30" s="46" t="s">
        <v>22</v>
      </c>
      <c r="B30" s="47"/>
      <c r="C30" s="47"/>
      <c r="D30" s="43"/>
      <c r="E30" s="43"/>
      <c r="F30" s="43"/>
      <c r="G30" s="43"/>
    </row>
    <row r="31" spans="1:13" x14ac:dyDescent="0.2">
      <c r="A31" s="44"/>
      <c r="B31" s="44"/>
      <c r="C31" s="44"/>
      <c r="D31" s="44"/>
      <c r="E31" s="44"/>
      <c r="F31" s="44"/>
      <c r="G31" s="44"/>
    </row>
    <row r="33" spans="1:3" x14ac:dyDescent="0.2">
      <c r="A33" s="22" t="s">
        <v>23</v>
      </c>
      <c r="B33" s="22"/>
    </row>
    <row r="34" spans="1:3" x14ac:dyDescent="0.2">
      <c r="A34" s="22" t="s">
        <v>24</v>
      </c>
      <c r="B34" s="21" t="s">
        <v>71</v>
      </c>
    </row>
    <row r="35" spans="1:3" x14ac:dyDescent="0.2">
      <c r="A35" s="22" t="s">
        <v>25</v>
      </c>
      <c r="B35" s="22" t="s">
        <v>26</v>
      </c>
    </row>
    <row r="36" spans="1:3" x14ac:dyDescent="0.2">
      <c r="A36" s="22" t="s">
        <v>12</v>
      </c>
      <c r="B36" s="22" t="s">
        <v>27</v>
      </c>
      <c r="C36" s="15" t="s">
        <v>56</v>
      </c>
    </row>
    <row r="49" s="15" customFormat="1" x14ac:dyDescent="0.2"/>
    <row r="50" s="15" customFormat="1" x14ac:dyDescent="0.2"/>
    <row r="51" s="15" customFormat="1" x14ac:dyDescent="0.2"/>
    <row r="52" s="15" customFormat="1" x14ac:dyDescent="0.2"/>
    <row r="53" s="15" customFormat="1" x14ac:dyDescent="0.2"/>
    <row r="54" s="15" customFormat="1" x14ac:dyDescent="0.2"/>
    <row r="55" s="15" customFormat="1" x14ac:dyDescent="0.2"/>
    <row r="56" s="15" customFormat="1" x14ac:dyDescent="0.2"/>
    <row r="57" s="15" customFormat="1" x14ac:dyDescent="0.2"/>
    <row r="58" s="15" customFormat="1" x14ac:dyDescent="0.2"/>
    <row r="59" s="15" customFormat="1" x14ac:dyDescent="0.2"/>
    <row r="60" s="15" customFormat="1" x14ac:dyDescent="0.2"/>
    <row r="61" s="15" customFormat="1" x14ac:dyDescent="0.2"/>
    <row r="62" s="15" customFormat="1" x14ac:dyDescent="0.2"/>
    <row r="63" s="15" customFormat="1" x14ac:dyDescent="0.2"/>
    <row r="64" s="15" customFormat="1" x14ac:dyDescent="0.2"/>
    <row r="65" s="15" customFormat="1" x14ac:dyDescent="0.2"/>
    <row r="66" s="15" customFormat="1" x14ac:dyDescent="0.2"/>
    <row r="67" s="15" customFormat="1" x14ac:dyDescent="0.2"/>
    <row r="68" s="15" customFormat="1" x14ac:dyDescent="0.2"/>
    <row r="69" s="15" customFormat="1" x14ac:dyDescent="0.2"/>
    <row r="70" s="15" customFormat="1" x14ac:dyDescent="0.2"/>
    <row r="71" s="15" customFormat="1" x14ac:dyDescent="0.2"/>
    <row r="72" s="15" customFormat="1" x14ac:dyDescent="0.2"/>
    <row r="73" s="15" customFormat="1" x14ac:dyDescent="0.2"/>
    <row r="74" s="15" customFormat="1" x14ac:dyDescent="0.2"/>
    <row r="75" s="15" customFormat="1" x14ac:dyDescent="0.2"/>
    <row r="76" s="15" customFormat="1" x14ac:dyDescent="0.2"/>
    <row r="77" s="15" customFormat="1" x14ac:dyDescent="0.2"/>
    <row r="78" s="15" customFormat="1" x14ac:dyDescent="0.2"/>
    <row r="79" s="15" customFormat="1" x14ac:dyDescent="0.2"/>
    <row r="80" s="15" customFormat="1" x14ac:dyDescent="0.2"/>
    <row r="81" s="15" customFormat="1" x14ac:dyDescent="0.2"/>
    <row r="82" s="15" customFormat="1" x14ac:dyDescent="0.2"/>
    <row r="83" s="15" customFormat="1" x14ac:dyDescent="0.2"/>
    <row r="84" s="15" customFormat="1" x14ac:dyDescent="0.2"/>
    <row r="85" s="15" customFormat="1" x14ac:dyDescent="0.2"/>
    <row r="86" s="15" customFormat="1" x14ac:dyDescent="0.2"/>
    <row r="87" s="15" customFormat="1" x14ac:dyDescent="0.2"/>
    <row r="88" s="15" customFormat="1" x14ac:dyDescent="0.2"/>
    <row r="89" s="15" customFormat="1" x14ac:dyDescent="0.2"/>
    <row r="90" s="15" customFormat="1" x14ac:dyDescent="0.2"/>
    <row r="91" s="15" customFormat="1" x14ac:dyDescent="0.2"/>
    <row r="92" s="15" customFormat="1" x14ac:dyDescent="0.2"/>
    <row r="93" s="15" customFormat="1" x14ac:dyDescent="0.2"/>
    <row r="94" s="15" customFormat="1" x14ac:dyDescent="0.2"/>
    <row r="95" s="15" customFormat="1" x14ac:dyDescent="0.2"/>
    <row r="96" s="15" customFormat="1" x14ac:dyDescent="0.2"/>
    <row r="97" s="15" customFormat="1" x14ac:dyDescent="0.2"/>
    <row r="98" s="15" customFormat="1" x14ac:dyDescent="0.2"/>
    <row r="99" s="15" customFormat="1" x14ac:dyDescent="0.2"/>
    <row r="100" s="15" customFormat="1" x14ac:dyDescent="0.2"/>
    <row r="101" s="15" customFormat="1" x14ac:dyDescent="0.2"/>
    <row r="102" s="15" customFormat="1" x14ac:dyDescent="0.2"/>
    <row r="103" s="15" customFormat="1" x14ac:dyDescent="0.2"/>
    <row r="104" s="15" customFormat="1" x14ac:dyDescent="0.2"/>
    <row r="105" s="15" customFormat="1" x14ac:dyDescent="0.2"/>
    <row r="106" s="15" customFormat="1" x14ac:dyDescent="0.2"/>
    <row r="107" s="15" customFormat="1" x14ac:dyDescent="0.2"/>
    <row r="108" s="15" customFormat="1" x14ac:dyDescent="0.2"/>
    <row r="109" s="15" customFormat="1" x14ac:dyDescent="0.2"/>
    <row r="110" s="15" customFormat="1" x14ac:dyDescent="0.2"/>
    <row r="111" s="15" customFormat="1" x14ac:dyDescent="0.2"/>
    <row r="112" s="15" customFormat="1" x14ac:dyDescent="0.2"/>
    <row r="113" s="15" customFormat="1" x14ac:dyDescent="0.2"/>
    <row r="114" s="15" customFormat="1" x14ac:dyDescent="0.2"/>
    <row r="115" s="15" customFormat="1" x14ac:dyDescent="0.2"/>
    <row r="116" s="15" customFormat="1" x14ac:dyDescent="0.2"/>
    <row r="117" s="15" customFormat="1" x14ac:dyDescent="0.2"/>
    <row r="118" s="15" customFormat="1" x14ac:dyDescent="0.2"/>
    <row r="119" s="15" customFormat="1" x14ac:dyDescent="0.2"/>
    <row r="120" s="15" customFormat="1" x14ac:dyDescent="0.2"/>
    <row r="121" s="15" customFormat="1" x14ac:dyDescent="0.2"/>
    <row r="122" s="15" customFormat="1" x14ac:dyDescent="0.2"/>
    <row r="123" s="15" customFormat="1" x14ac:dyDescent="0.2"/>
    <row r="124" s="15" customFormat="1" x14ac:dyDescent="0.2"/>
    <row r="125" s="15" customFormat="1" x14ac:dyDescent="0.2"/>
    <row r="126" s="15" customFormat="1" x14ac:dyDescent="0.2"/>
    <row r="127" s="15" customFormat="1" x14ac:dyDescent="0.2"/>
    <row r="128" s="15" customFormat="1" x14ac:dyDescent="0.2"/>
    <row r="129" s="15" customFormat="1" x14ac:dyDescent="0.2"/>
    <row r="130" s="15" customFormat="1" x14ac:dyDescent="0.2"/>
    <row r="131" s="15" customFormat="1" x14ac:dyDescent="0.2"/>
    <row r="132" s="15" customFormat="1" x14ac:dyDescent="0.2"/>
    <row r="133" s="15" customFormat="1" x14ac:dyDescent="0.2"/>
    <row r="134" s="15" customFormat="1" x14ac:dyDescent="0.2"/>
    <row r="135" s="15" customFormat="1" x14ac:dyDescent="0.2"/>
    <row r="136" s="15" customFormat="1" x14ac:dyDescent="0.2"/>
    <row r="137" s="15" customFormat="1" x14ac:dyDescent="0.2"/>
    <row r="138" s="15" customFormat="1" x14ac:dyDescent="0.2"/>
    <row r="139" s="15" customFormat="1" x14ac:dyDescent="0.2"/>
    <row r="140" s="15" customFormat="1" x14ac:dyDescent="0.2"/>
    <row r="141" s="15" customFormat="1" x14ac:dyDescent="0.2"/>
    <row r="142" s="15" customFormat="1" x14ac:dyDescent="0.2"/>
    <row r="143" s="15" customFormat="1" x14ac:dyDescent="0.2"/>
    <row r="144" s="15" customFormat="1" x14ac:dyDescent="0.2"/>
    <row r="145" s="15" customFormat="1" x14ac:dyDescent="0.2"/>
    <row r="146" s="15" customFormat="1" x14ac:dyDescent="0.2"/>
    <row r="147" s="15" customFormat="1" x14ac:dyDescent="0.2"/>
    <row r="148" s="15" customFormat="1" x14ac:dyDescent="0.2"/>
    <row r="149" s="15" customFormat="1" x14ac:dyDescent="0.2"/>
    <row r="150" s="15" customFormat="1" x14ac:dyDescent="0.2"/>
    <row r="151" s="15" customFormat="1" x14ac:dyDescent="0.2"/>
    <row r="152" s="15" customFormat="1" x14ac:dyDescent="0.2"/>
    <row r="153" s="15" customFormat="1" x14ac:dyDescent="0.2"/>
    <row r="154" s="15" customFormat="1" x14ac:dyDescent="0.2"/>
    <row r="155" s="15" customFormat="1" x14ac:dyDescent="0.2"/>
    <row r="156" s="15" customFormat="1" x14ac:dyDescent="0.2"/>
    <row r="157" s="15" customFormat="1" x14ac:dyDescent="0.2"/>
    <row r="158" s="15" customFormat="1" x14ac:dyDescent="0.2"/>
    <row r="159" s="15" customFormat="1" x14ac:dyDescent="0.2"/>
    <row r="160" s="15" customFormat="1" x14ac:dyDescent="0.2"/>
    <row r="161" s="15" customFormat="1" x14ac:dyDescent="0.2"/>
    <row r="162" s="15" customFormat="1" x14ac:dyDescent="0.2"/>
    <row r="163" s="15" customFormat="1" x14ac:dyDescent="0.2"/>
    <row r="164" s="15" customFormat="1" x14ac:dyDescent="0.2"/>
    <row r="165" s="15" customFormat="1" x14ac:dyDescent="0.2"/>
    <row r="166" s="15" customFormat="1" x14ac:dyDescent="0.2"/>
    <row r="167" s="15" customFormat="1" x14ac:dyDescent="0.2"/>
    <row r="168" s="15" customFormat="1" x14ac:dyDescent="0.2"/>
    <row r="169" s="15" customFormat="1" x14ac:dyDescent="0.2"/>
    <row r="170" s="15" customFormat="1" x14ac:dyDescent="0.2"/>
    <row r="171" s="15" customFormat="1" x14ac:dyDescent="0.2"/>
    <row r="172" s="15" customFormat="1" x14ac:dyDescent="0.2"/>
    <row r="173" s="15" customFormat="1" x14ac:dyDescent="0.2"/>
    <row r="174" s="15" customFormat="1" x14ac:dyDescent="0.2"/>
    <row r="175" s="15" customFormat="1" x14ac:dyDescent="0.2"/>
    <row r="176" s="15" customFormat="1" x14ac:dyDescent="0.2"/>
    <row r="177" s="15" customFormat="1" x14ac:dyDescent="0.2"/>
    <row r="178" s="15" customFormat="1" x14ac:dyDescent="0.2"/>
    <row r="179" s="15" customFormat="1" x14ac:dyDescent="0.2"/>
    <row r="180" s="15" customFormat="1" x14ac:dyDescent="0.2"/>
    <row r="181" s="15" customFormat="1" x14ac:dyDescent="0.2"/>
    <row r="182" s="15" customFormat="1" x14ac:dyDescent="0.2"/>
    <row r="183" s="15" customFormat="1" x14ac:dyDescent="0.2"/>
    <row r="184" s="15" customFormat="1" x14ac:dyDescent="0.2"/>
    <row r="185" s="15" customFormat="1" x14ac:dyDescent="0.2"/>
    <row r="186" s="15" customFormat="1" x14ac:dyDescent="0.2"/>
    <row r="187" s="15" customFormat="1" x14ac:dyDescent="0.2"/>
    <row r="188" s="15" customFormat="1" x14ac:dyDescent="0.2"/>
    <row r="189" s="15" customFormat="1" x14ac:dyDescent="0.2"/>
    <row r="190" s="15" customFormat="1" x14ac:dyDescent="0.2"/>
    <row r="191" s="15" customFormat="1" x14ac:dyDescent="0.2"/>
    <row r="192" s="15" customFormat="1" x14ac:dyDescent="0.2"/>
    <row r="193" s="15" customFormat="1" x14ac:dyDescent="0.2"/>
    <row r="194" s="15" customFormat="1" x14ac:dyDescent="0.2"/>
    <row r="195" s="15" customFormat="1" x14ac:dyDescent="0.2"/>
    <row r="196" s="15" customFormat="1" x14ac:dyDescent="0.2"/>
    <row r="197" s="15" customFormat="1" x14ac:dyDescent="0.2"/>
    <row r="198" s="15" customFormat="1" x14ac:dyDescent="0.2"/>
    <row r="199" s="15" customFormat="1" x14ac:dyDescent="0.2"/>
    <row r="200" s="15" customFormat="1" x14ac:dyDescent="0.2"/>
    <row r="201" s="15" customFormat="1" x14ac:dyDescent="0.2"/>
    <row r="202" s="15" customFormat="1" x14ac:dyDescent="0.2"/>
    <row r="203" s="15" customFormat="1" x14ac:dyDescent="0.2"/>
    <row r="204" s="15" customFormat="1" x14ac:dyDescent="0.2"/>
    <row r="205" s="15" customFormat="1" x14ac:dyDescent="0.2"/>
    <row r="206" s="15" customFormat="1" x14ac:dyDescent="0.2"/>
    <row r="207" s="15" customFormat="1" x14ac:dyDescent="0.2"/>
    <row r="208" s="15" customFormat="1" x14ac:dyDescent="0.2"/>
    <row r="209" s="15" customFormat="1" x14ac:dyDescent="0.2"/>
    <row r="210" s="15" customFormat="1" x14ac:dyDescent="0.2"/>
    <row r="211" s="15" customFormat="1" x14ac:dyDescent="0.2"/>
    <row r="212" s="15" customFormat="1" x14ac:dyDescent="0.2"/>
    <row r="213" s="15" customFormat="1" x14ac:dyDescent="0.2"/>
    <row r="214" s="15" customFormat="1" x14ac:dyDescent="0.2"/>
    <row r="215" s="15" customFormat="1" x14ac:dyDescent="0.2"/>
    <row r="216" s="15" customFormat="1" x14ac:dyDescent="0.2"/>
    <row r="217" s="15" customFormat="1" x14ac:dyDescent="0.2"/>
    <row r="218" s="15" customFormat="1" x14ac:dyDescent="0.2"/>
    <row r="219" s="15" customFormat="1" x14ac:dyDescent="0.2"/>
    <row r="220" s="15" customFormat="1" x14ac:dyDescent="0.2"/>
    <row r="221" s="15" customFormat="1" x14ac:dyDescent="0.2"/>
    <row r="222" s="15" customFormat="1" x14ac:dyDescent="0.2"/>
    <row r="223" s="15" customFormat="1" x14ac:dyDescent="0.2"/>
    <row r="224" s="15" customFormat="1" x14ac:dyDescent="0.2"/>
    <row r="225" s="15" customFormat="1" x14ac:dyDescent="0.2"/>
    <row r="226" s="15" customFormat="1" x14ac:dyDescent="0.2"/>
    <row r="227" s="15" customFormat="1" x14ac:dyDescent="0.2"/>
    <row r="228" s="15" customFormat="1" x14ac:dyDescent="0.2"/>
    <row r="229" s="15" customFormat="1" x14ac:dyDescent="0.2"/>
    <row r="230" s="15" customFormat="1" x14ac:dyDescent="0.2"/>
    <row r="231" s="15" customFormat="1" x14ac:dyDescent="0.2"/>
    <row r="232" s="15" customFormat="1" x14ac:dyDescent="0.2"/>
    <row r="233" s="15" customFormat="1" x14ac:dyDescent="0.2"/>
    <row r="234" s="15" customFormat="1" x14ac:dyDescent="0.2"/>
    <row r="235" s="15" customFormat="1" x14ac:dyDescent="0.2"/>
    <row r="236" s="15" customFormat="1" x14ac:dyDescent="0.2"/>
    <row r="237" s="15" customFormat="1" x14ac:dyDescent="0.2"/>
    <row r="238" s="15" customFormat="1" x14ac:dyDescent="0.2"/>
    <row r="239" s="15" customFormat="1" x14ac:dyDescent="0.2"/>
    <row r="240" s="15" customFormat="1" x14ac:dyDescent="0.2"/>
    <row r="241" s="15" customFormat="1" x14ac:dyDescent="0.2"/>
    <row r="242" s="15" customFormat="1" x14ac:dyDescent="0.2"/>
    <row r="243" s="15" customFormat="1" x14ac:dyDescent="0.2"/>
    <row r="244" s="15" customFormat="1" x14ac:dyDescent="0.2"/>
    <row r="245" s="15" customFormat="1" x14ac:dyDescent="0.2"/>
    <row r="246" s="15" customFormat="1" x14ac:dyDescent="0.2"/>
    <row r="247" s="15" customFormat="1" x14ac:dyDescent="0.2"/>
    <row r="248" s="15" customFormat="1" x14ac:dyDescent="0.2"/>
    <row r="249" s="15" customFormat="1" x14ac:dyDescent="0.2"/>
    <row r="250" s="15" customFormat="1" x14ac:dyDescent="0.2"/>
    <row r="251" s="15" customFormat="1" x14ac:dyDescent="0.2"/>
    <row r="252" s="15" customFormat="1" x14ac:dyDescent="0.2"/>
    <row r="253" s="15" customFormat="1" x14ac:dyDescent="0.2"/>
    <row r="254" s="15" customFormat="1" x14ac:dyDescent="0.2"/>
    <row r="255" s="15" customFormat="1" x14ac:dyDescent="0.2"/>
    <row r="256" s="15" customFormat="1" x14ac:dyDescent="0.2"/>
    <row r="257" s="15" customFormat="1" x14ac:dyDescent="0.2"/>
    <row r="258" s="15" customFormat="1" x14ac:dyDescent="0.2"/>
    <row r="259" s="15" customFormat="1" x14ac:dyDescent="0.2"/>
    <row r="260" s="15" customFormat="1" x14ac:dyDescent="0.2"/>
    <row r="261" s="15" customFormat="1" x14ac:dyDescent="0.2"/>
    <row r="262" s="15" customFormat="1" x14ac:dyDescent="0.2"/>
    <row r="263" s="15" customFormat="1" x14ac:dyDescent="0.2"/>
    <row r="264" s="15" customFormat="1" x14ac:dyDescent="0.2"/>
    <row r="265" s="15" customFormat="1" x14ac:dyDescent="0.2"/>
    <row r="266" s="15" customFormat="1" x14ac:dyDescent="0.2"/>
    <row r="267" s="15" customFormat="1" x14ac:dyDescent="0.2"/>
    <row r="268" s="15" customFormat="1" x14ac:dyDescent="0.2"/>
    <row r="269" s="15" customFormat="1" x14ac:dyDescent="0.2"/>
    <row r="270" s="15" customFormat="1" x14ac:dyDescent="0.2"/>
    <row r="271" s="15" customFormat="1" x14ac:dyDescent="0.2"/>
    <row r="272" s="15" customFormat="1" x14ac:dyDescent="0.2"/>
    <row r="273" s="15" customFormat="1" x14ac:dyDescent="0.2"/>
    <row r="274" s="15" customFormat="1" x14ac:dyDescent="0.2"/>
    <row r="275" s="15" customFormat="1" x14ac:dyDescent="0.2"/>
    <row r="276" s="15" customFormat="1" x14ac:dyDescent="0.2"/>
    <row r="277" s="15" customFormat="1" x14ac:dyDescent="0.2"/>
    <row r="278" s="15" customFormat="1" x14ac:dyDescent="0.2"/>
    <row r="279" s="15" customFormat="1" x14ac:dyDescent="0.2"/>
    <row r="280" s="15" customFormat="1" x14ac:dyDescent="0.2"/>
    <row r="281" s="15" customFormat="1" x14ac:dyDescent="0.2"/>
    <row r="282" s="15" customFormat="1" x14ac:dyDescent="0.2"/>
    <row r="283" s="15" customFormat="1" x14ac:dyDescent="0.2"/>
    <row r="284" s="15" customFormat="1" x14ac:dyDescent="0.2"/>
    <row r="285" s="15" customFormat="1" x14ac:dyDescent="0.2"/>
    <row r="286" s="15" customFormat="1" x14ac:dyDescent="0.2"/>
    <row r="287" s="15" customFormat="1" x14ac:dyDescent="0.2"/>
    <row r="288" s="15" customFormat="1" x14ac:dyDescent="0.2"/>
    <row r="289" s="15" customFormat="1" x14ac:dyDescent="0.2"/>
    <row r="290" s="15" customFormat="1" x14ac:dyDescent="0.2"/>
    <row r="291" s="15" customFormat="1" x14ac:dyDescent="0.2"/>
    <row r="292" s="15" customFormat="1" x14ac:dyDescent="0.2"/>
    <row r="293" s="15" customFormat="1" x14ac:dyDescent="0.2"/>
    <row r="294" s="15" customFormat="1" x14ac:dyDescent="0.2"/>
    <row r="295" s="15" customFormat="1" x14ac:dyDescent="0.2"/>
    <row r="296" s="15" customFormat="1" x14ac:dyDescent="0.2"/>
    <row r="297" s="15" customFormat="1" x14ac:dyDescent="0.2"/>
    <row r="298" s="15" customFormat="1" x14ac:dyDescent="0.2"/>
    <row r="299" s="15" customFormat="1" x14ac:dyDescent="0.2"/>
    <row r="300" s="15" customFormat="1" x14ac:dyDescent="0.2"/>
    <row r="301" s="15" customFormat="1" x14ac:dyDescent="0.2"/>
    <row r="302" s="15" customFormat="1" x14ac:dyDescent="0.2"/>
    <row r="303" s="15" customFormat="1" x14ac:dyDescent="0.2"/>
    <row r="304" s="15" customFormat="1" x14ac:dyDescent="0.2"/>
    <row r="305" s="15" customFormat="1" x14ac:dyDescent="0.2"/>
    <row r="306" s="15" customFormat="1" x14ac:dyDescent="0.2"/>
    <row r="307" s="15" customFormat="1" x14ac:dyDescent="0.2"/>
    <row r="308" s="15" customFormat="1" x14ac:dyDescent="0.2"/>
    <row r="309" s="15" customFormat="1" x14ac:dyDescent="0.2"/>
    <row r="310" s="15" customFormat="1" x14ac:dyDescent="0.2"/>
    <row r="311" s="15" customFormat="1" x14ac:dyDescent="0.2"/>
    <row r="312" s="15" customFormat="1" x14ac:dyDescent="0.2"/>
    <row r="313" s="15" customFormat="1" x14ac:dyDescent="0.2"/>
    <row r="314" s="15" customFormat="1" x14ac:dyDescent="0.2"/>
    <row r="315" s="15" customFormat="1" x14ac:dyDescent="0.2"/>
    <row r="316" s="15" customFormat="1" x14ac:dyDescent="0.2"/>
    <row r="317" s="15" customFormat="1" x14ac:dyDescent="0.2"/>
    <row r="318" s="15" customFormat="1" x14ac:dyDescent="0.2"/>
    <row r="319" s="15" customFormat="1" x14ac:dyDescent="0.2"/>
    <row r="320" s="15" customFormat="1" x14ac:dyDescent="0.2"/>
    <row r="321" s="15" customFormat="1" x14ac:dyDescent="0.2"/>
    <row r="322" s="15" customFormat="1" x14ac:dyDescent="0.2"/>
    <row r="323" s="15" customFormat="1" x14ac:dyDescent="0.2"/>
    <row r="324" s="15" customFormat="1" x14ac:dyDescent="0.2"/>
    <row r="325" s="15" customFormat="1" x14ac:dyDescent="0.2"/>
    <row r="326" s="15" customFormat="1" x14ac:dyDescent="0.2"/>
    <row r="327" s="15" customFormat="1" x14ac:dyDescent="0.2"/>
    <row r="328" s="15" customFormat="1" x14ac:dyDescent="0.2"/>
    <row r="329" s="15" customFormat="1" x14ac:dyDescent="0.2"/>
    <row r="330" s="15" customFormat="1" x14ac:dyDescent="0.2"/>
    <row r="331" s="15" customFormat="1" x14ac:dyDescent="0.2"/>
    <row r="332" s="15" customFormat="1" x14ac:dyDescent="0.2"/>
    <row r="333" s="15" customFormat="1" x14ac:dyDescent="0.2"/>
    <row r="334" s="15" customFormat="1" x14ac:dyDescent="0.2"/>
    <row r="335" s="15" customFormat="1" x14ac:dyDescent="0.2"/>
    <row r="336" s="15" customFormat="1" x14ac:dyDescent="0.2"/>
    <row r="337" s="15" customFormat="1" x14ac:dyDescent="0.2"/>
    <row r="338" s="15" customFormat="1" x14ac:dyDescent="0.2"/>
    <row r="339" s="15" customFormat="1" x14ac:dyDescent="0.2"/>
    <row r="340" s="15" customFormat="1" x14ac:dyDescent="0.2"/>
    <row r="341" s="15" customFormat="1" x14ac:dyDescent="0.2"/>
    <row r="342" s="15" customFormat="1" x14ac:dyDescent="0.2"/>
    <row r="343" s="15" customFormat="1" x14ac:dyDescent="0.2"/>
    <row r="344" s="15" customFormat="1" x14ac:dyDescent="0.2"/>
    <row r="345" s="15" customFormat="1" x14ac:dyDescent="0.2"/>
    <row r="346" s="15" customFormat="1" x14ac:dyDescent="0.2"/>
    <row r="347" s="15" customFormat="1" x14ac:dyDescent="0.2"/>
    <row r="348" s="15" customFormat="1" x14ac:dyDescent="0.2"/>
    <row r="349" s="15" customFormat="1" x14ac:dyDescent="0.2"/>
    <row r="350" s="15" customFormat="1" x14ac:dyDescent="0.2"/>
    <row r="351" s="15" customFormat="1" x14ac:dyDescent="0.2"/>
    <row r="352" s="15" customFormat="1" x14ac:dyDescent="0.2"/>
    <row r="353" s="15" customFormat="1" x14ac:dyDescent="0.2"/>
    <row r="354" s="15" customFormat="1" x14ac:dyDescent="0.2"/>
    <row r="355" s="15" customFormat="1" x14ac:dyDescent="0.2"/>
    <row r="356" s="15" customFormat="1" x14ac:dyDescent="0.2"/>
    <row r="357" s="15" customFormat="1" x14ac:dyDescent="0.2"/>
    <row r="358" s="15" customFormat="1" x14ac:dyDescent="0.2"/>
    <row r="359" s="15" customFormat="1" x14ac:dyDescent="0.2"/>
    <row r="360" s="15" customFormat="1" x14ac:dyDescent="0.2"/>
    <row r="361" s="15" customFormat="1" x14ac:dyDescent="0.2"/>
    <row r="362" s="15" customFormat="1" x14ac:dyDescent="0.2"/>
    <row r="363" s="15" customFormat="1" x14ac:dyDescent="0.2"/>
    <row r="364" s="15" customFormat="1" x14ac:dyDescent="0.2"/>
    <row r="365" s="15" customFormat="1" x14ac:dyDescent="0.2"/>
    <row r="366" s="15" customFormat="1" x14ac:dyDescent="0.2"/>
    <row r="367" s="15" customFormat="1" x14ac:dyDescent="0.2"/>
    <row r="368" s="15" customFormat="1" x14ac:dyDescent="0.2"/>
    <row r="369" s="15" customFormat="1" x14ac:dyDescent="0.2"/>
    <row r="370" s="15" customFormat="1" x14ac:dyDescent="0.2"/>
    <row r="371" s="15" customFormat="1" x14ac:dyDescent="0.2"/>
    <row r="372" s="15" customFormat="1" x14ac:dyDescent="0.2"/>
    <row r="373" s="15" customFormat="1" x14ac:dyDescent="0.2"/>
    <row r="374" s="15" customFormat="1" x14ac:dyDescent="0.2"/>
    <row r="375" s="15" customFormat="1" x14ac:dyDescent="0.2"/>
    <row r="376" s="15" customFormat="1" x14ac:dyDescent="0.2"/>
    <row r="377" s="15" customFormat="1" x14ac:dyDescent="0.2"/>
    <row r="378" s="15" customFormat="1" x14ac:dyDescent="0.2"/>
    <row r="379" s="15" customFormat="1" x14ac:dyDescent="0.2"/>
    <row r="380" s="15" customFormat="1" x14ac:dyDescent="0.2"/>
    <row r="381" s="15" customFormat="1" x14ac:dyDescent="0.2"/>
    <row r="382" s="15" customFormat="1" x14ac:dyDescent="0.2"/>
    <row r="383" s="15" customFormat="1" x14ac:dyDescent="0.2"/>
    <row r="384" s="15" customFormat="1" x14ac:dyDescent="0.2"/>
    <row r="385" s="15" customFormat="1" x14ac:dyDescent="0.2"/>
    <row r="386" s="15" customFormat="1" x14ac:dyDescent="0.2"/>
    <row r="387" s="15" customFormat="1" x14ac:dyDescent="0.2"/>
    <row r="388" s="15" customFormat="1" x14ac:dyDescent="0.2"/>
    <row r="389" s="15" customFormat="1" x14ac:dyDescent="0.2"/>
    <row r="390" s="15" customFormat="1" x14ac:dyDescent="0.2"/>
    <row r="391" s="15" customFormat="1" x14ac:dyDescent="0.2"/>
    <row r="392" s="15" customFormat="1" x14ac:dyDescent="0.2"/>
    <row r="393" s="15" customFormat="1" x14ac:dyDescent="0.2"/>
    <row r="394" s="15" customFormat="1" x14ac:dyDescent="0.2"/>
    <row r="395" s="15" customFormat="1" x14ac:dyDescent="0.2"/>
    <row r="396" s="15" customFormat="1" x14ac:dyDescent="0.2"/>
    <row r="397" s="15" customFormat="1" x14ac:dyDescent="0.2"/>
    <row r="398" s="15" customFormat="1" x14ac:dyDescent="0.2"/>
    <row r="399" s="15" customFormat="1" x14ac:dyDescent="0.2"/>
    <row r="400" s="15" customFormat="1" x14ac:dyDescent="0.2"/>
    <row r="401" s="15" customFormat="1" x14ac:dyDescent="0.2"/>
    <row r="402" s="15" customFormat="1" x14ac:dyDescent="0.2"/>
    <row r="403" s="15" customFormat="1" x14ac:dyDescent="0.2"/>
    <row r="404" s="15" customFormat="1" x14ac:dyDescent="0.2"/>
    <row r="405" s="15" customFormat="1" x14ac:dyDescent="0.2"/>
    <row r="406" s="15" customFormat="1" x14ac:dyDescent="0.2"/>
    <row r="407" s="15" customFormat="1" x14ac:dyDescent="0.2"/>
    <row r="408" s="15" customFormat="1" x14ac:dyDescent="0.2"/>
    <row r="409" s="15" customFormat="1" x14ac:dyDescent="0.2"/>
    <row r="410" s="15" customFormat="1" x14ac:dyDescent="0.2"/>
    <row r="411" s="15" customFormat="1" x14ac:dyDescent="0.2"/>
    <row r="412" s="15" customFormat="1" x14ac:dyDescent="0.2"/>
    <row r="413" s="15" customFormat="1" x14ac:dyDescent="0.2"/>
    <row r="414" s="15" customFormat="1" x14ac:dyDescent="0.2"/>
    <row r="415" s="15" customFormat="1" x14ac:dyDescent="0.2"/>
    <row r="416" s="15" customFormat="1" x14ac:dyDescent="0.2"/>
    <row r="417" s="15" customFormat="1" x14ac:dyDescent="0.2"/>
    <row r="418" s="15" customFormat="1" x14ac:dyDescent="0.2"/>
    <row r="419" s="15" customFormat="1" x14ac:dyDescent="0.2"/>
    <row r="420" s="15" customFormat="1" x14ac:dyDescent="0.2"/>
    <row r="421" s="15" customFormat="1" x14ac:dyDescent="0.2"/>
    <row r="422" s="15" customFormat="1" x14ac:dyDescent="0.2"/>
    <row r="423" s="15" customFormat="1" x14ac:dyDescent="0.2"/>
    <row r="424" s="15" customFormat="1" x14ac:dyDescent="0.2"/>
    <row r="425" s="15" customFormat="1" x14ac:dyDescent="0.2"/>
    <row r="426" s="15" customFormat="1" x14ac:dyDescent="0.2"/>
    <row r="427" s="15" customFormat="1" x14ac:dyDescent="0.2"/>
    <row r="428" s="15" customFormat="1" x14ac:dyDescent="0.2"/>
    <row r="429" s="15" customFormat="1" x14ac:dyDescent="0.2"/>
    <row r="430" s="15" customFormat="1" x14ac:dyDescent="0.2"/>
    <row r="431" s="15" customFormat="1" x14ac:dyDescent="0.2"/>
    <row r="432" s="15" customFormat="1" x14ac:dyDescent="0.2"/>
    <row r="433" s="15" customFormat="1" x14ac:dyDescent="0.2"/>
    <row r="434" s="15" customFormat="1" x14ac:dyDescent="0.2"/>
    <row r="435" s="15" customFormat="1" x14ac:dyDescent="0.2"/>
    <row r="436" s="15" customFormat="1" x14ac:dyDescent="0.2"/>
    <row r="437" s="15" customFormat="1" x14ac:dyDescent="0.2"/>
    <row r="438" s="15" customFormat="1" x14ac:dyDescent="0.2"/>
    <row r="439" s="15" customFormat="1" x14ac:dyDescent="0.2"/>
    <row r="440" s="15" customFormat="1" x14ac:dyDescent="0.2"/>
    <row r="441" s="15" customFormat="1" x14ac:dyDescent="0.2"/>
    <row r="442" s="15" customFormat="1" x14ac:dyDescent="0.2"/>
    <row r="443" s="15" customFormat="1" x14ac:dyDescent="0.2"/>
    <row r="444" s="15" customFormat="1" x14ac:dyDescent="0.2"/>
    <row r="445" s="15" customFormat="1" x14ac:dyDescent="0.2"/>
    <row r="446" s="15" customFormat="1" x14ac:dyDescent="0.2"/>
    <row r="447" s="15" customFormat="1" x14ac:dyDescent="0.2"/>
    <row r="448" s="15" customFormat="1" x14ac:dyDescent="0.2"/>
    <row r="449" s="15" customFormat="1" x14ac:dyDescent="0.2"/>
    <row r="450" s="15" customFormat="1" x14ac:dyDescent="0.2"/>
    <row r="451" s="15" customFormat="1" x14ac:dyDescent="0.2"/>
    <row r="452" s="15" customFormat="1" x14ac:dyDescent="0.2"/>
    <row r="453" s="15" customFormat="1" x14ac:dyDescent="0.2"/>
    <row r="454" s="15" customFormat="1" x14ac:dyDescent="0.2"/>
    <row r="455" s="15" customFormat="1" x14ac:dyDescent="0.2"/>
    <row r="456" s="15" customFormat="1" x14ac:dyDescent="0.2"/>
    <row r="457" s="15" customFormat="1" x14ac:dyDescent="0.2"/>
    <row r="458" s="15" customFormat="1" x14ac:dyDescent="0.2"/>
    <row r="459" s="15" customFormat="1" x14ac:dyDescent="0.2"/>
    <row r="460" s="15" customFormat="1" x14ac:dyDescent="0.2"/>
    <row r="461" s="15" customFormat="1" x14ac:dyDescent="0.2"/>
    <row r="462" s="15" customFormat="1" x14ac:dyDescent="0.2"/>
    <row r="463" s="15" customFormat="1" x14ac:dyDescent="0.2"/>
    <row r="464" s="15" customFormat="1" x14ac:dyDescent="0.2"/>
    <row r="465" s="15" customFormat="1" x14ac:dyDescent="0.2"/>
    <row r="466" s="15" customFormat="1" x14ac:dyDescent="0.2"/>
    <row r="467" s="15" customFormat="1" x14ac:dyDescent="0.2"/>
    <row r="468" s="15" customFormat="1" x14ac:dyDescent="0.2"/>
    <row r="469" s="15" customFormat="1" x14ac:dyDescent="0.2"/>
    <row r="470" s="15" customFormat="1" x14ac:dyDescent="0.2"/>
    <row r="471" s="15" customFormat="1" x14ac:dyDescent="0.2"/>
    <row r="472" s="15" customFormat="1" x14ac:dyDescent="0.2"/>
    <row r="473" s="15" customFormat="1" x14ac:dyDescent="0.2"/>
    <row r="474" s="15" customFormat="1" x14ac:dyDescent="0.2"/>
    <row r="475" s="15" customFormat="1" x14ac:dyDescent="0.2"/>
    <row r="476" s="15" customFormat="1" x14ac:dyDescent="0.2"/>
    <row r="477" s="15" customFormat="1" x14ac:dyDescent="0.2"/>
    <row r="478" s="15" customFormat="1" x14ac:dyDescent="0.2"/>
    <row r="479" s="15" customFormat="1" x14ac:dyDescent="0.2"/>
    <row r="480" s="15" customFormat="1" x14ac:dyDescent="0.2"/>
    <row r="481" s="15" customFormat="1" x14ac:dyDescent="0.2"/>
    <row r="482" s="15" customFormat="1" x14ac:dyDescent="0.2"/>
    <row r="483" s="15" customFormat="1" x14ac:dyDescent="0.2"/>
    <row r="484" s="15" customFormat="1" x14ac:dyDescent="0.2"/>
    <row r="485" s="15" customFormat="1" x14ac:dyDescent="0.2"/>
    <row r="486" s="15" customFormat="1" x14ac:dyDescent="0.2"/>
    <row r="487" s="15" customFormat="1" x14ac:dyDescent="0.2"/>
    <row r="488" s="15" customFormat="1" x14ac:dyDescent="0.2"/>
    <row r="489" s="15" customFormat="1" x14ac:dyDescent="0.2"/>
    <row r="490" s="15" customFormat="1" x14ac:dyDescent="0.2"/>
    <row r="491" s="15" customFormat="1" x14ac:dyDescent="0.2"/>
    <row r="492" s="15" customFormat="1" x14ac:dyDescent="0.2"/>
    <row r="493" s="15" customFormat="1" x14ac:dyDescent="0.2"/>
    <row r="494" s="15" customFormat="1" x14ac:dyDescent="0.2"/>
    <row r="495" s="15" customFormat="1" x14ac:dyDescent="0.2"/>
    <row r="496" s="15" customFormat="1" x14ac:dyDescent="0.2"/>
    <row r="497" s="15" customFormat="1" x14ac:dyDescent="0.2"/>
    <row r="498" s="15" customFormat="1" x14ac:dyDescent="0.2"/>
    <row r="499" s="15" customFormat="1" x14ac:dyDescent="0.2"/>
    <row r="500" s="15" customFormat="1" x14ac:dyDescent="0.2"/>
    <row r="501" s="15" customFormat="1" x14ac:dyDescent="0.2"/>
    <row r="502" s="15" customFormat="1" x14ac:dyDescent="0.2"/>
    <row r="503" s="15" customFormat="1" x14ac:dyDescent="0.2"/>
    <row r="504" s="15" customFormat="1" x14ac:dyDescent="0.2"/>
    <row r="505" s="15" customFormat="1" x14ac:dyDescent="0.2"/>
    <row r="506" s="15" customFormat="1" x14ac:dyDescent="0.2"/>
    <row r="507" s="15" customFormat="1" x14ac:dyDescent="0.2"/>
    <row r="508" s="15" customFormat="1" x14ac:dyDescent="0.2"/>
    <row r="509" s="15" customFormat="1" x14ac:dyDescent="0.2"/>
    <row r="510" s="15" customFormat="1" x14ac:dyDescent="0.2"/>
    <row r="511" s="15" customFormat="1" x14ac:dyDescent="0.2"/>
    <row r="512" s="15" customFormat="1" x14ac:dyDescent="0.2"/>
    <row r="513" s="15" customFormat="1" x14ac:dyDescent="0.2"/>
    <row r="514" s="15" customFormat="1" x14ac:dyDescent="0.2"/>
    <row r="515" s="15" customFormat="1" x14ac:dyDescent="0.2"/>
    <row r="516" s="15" customFormat="1" x14ac:dyDescent="0.2"/>
    <row r="517" s="15" customFormat="1" x14ac:dyDescent="0.2"/>
    <row r="518" s="15" customFormat="1" x14ac:dyDescent="0.2"/>
    <row r="519" s="15" customFormat="1" x14ac:dyDescent="0.2"/>
    <row r="520" s="15" customFormat="1" x14ac:dyDescent="0.2"/>
    <row r="521" s="15" customFormat="1" x14ac:dyDescent="0.2"/>
    <row r="522" s="15" customFormat="1" x14ac:dyDescent="0.2"/>
    <row r="523" s="15" customFormat="1" x14ac:dyDescent="0.2"/>
    <row r="524" s="15" customFormat="1" x14ac:dyDescent="0.2"/>
    <row r="525" s="15" customFormat="1" x14ac:dyDescent="0.2"/>
    <row r="526" s="15" customFormat="1" x14ac:dyDescent="0.2"/>
    <row r="527" s="15" customFormat="1" x14ac:dyDescent="0.2"/>
    <row r="528" s="15" customFormat="1" x14ac:dyDescent="0.2"/>
    <row r="529" s="15" customFormat="1" x14ac:dyDescent="0.2"/>
    <row r="530" s="15" customFormat="1" x14ac:dyDescent="0.2"/>
    <row r="531" s="15" customFormat="1" x14ac:dyDescent="0.2"/>
    <row r="532" s="15" customFormat="1" x14ac:dyDescent="0.2"/>
    <row r="533" s="15" customFormat="1" x14ac:dyDescent="0.2"/>
    <row r="534" s="15" customFormat="1" x14ac:dyDescent="0.2"/>
    <row r="535" s="15" customFormat="1" x14ac:dyDescent="0.2"/>
    <row r="536" s="15" customFormat="1" x14ac:dyDescent="0.2"/>
    <row r="537" s="15" customFormat="1" x14ac:dyDescent="0.2"/>
    <row r="538" s="15" customFormat="1" x14ac:dyDescent="0.2"/>
    <row r="539" s="15" customFormat="1" x14ac:dyDescent="0.2"/>
    <row r="540" s="15" customFormat="1" x14ac:dyDescent="0.2"/>
    <row r="541" s="15" customFormat="1" x14ac:dyDescent="0.2"/>
    <row r="542" s="15" customFormat="1" x14ac:dyDescent="0.2"/>
    <row r="543" s="15" customFormat="1" x14ac:dyDescent="0.2"/>
    <row r="544" s="15" customFormat="1" x14ac:dyDescent="0.2"/>
    <row r="545" s="15" customFormat="1" x14ac:dyDescent="0.2"/>
    <row r="546" s="15" customFormat="1" x14ac:dyDescent="0.2"/>
    <row r="547" s="15" customFormat="1" x14ac:dyDescent="0.2"/>
    <row r="548" s="15" customFormat="1" x14ac:dyDescent="0.2"/>
    <row r="549" s="15" customFormat="1" x14ac:dyDescent="0.2"/>
    <row r="550" s="15" customFormat="1" x14ac:dyDescent="0.2"/>
    <row r="551" s="15" customFormat="1" x14ac:dyDescent="0.2"/>
    <row r="552" s="15" customFormat="1" x14ac:dyDescent="0.2"/>
    <row r="553" s="15" customFormat="1" x14ac:dyDescent="0.2"/>
    <row r="554" s="15" customFormat="1" x14ac:dyDescent="0.2"/>
    <row r="555" s="15" customFormat="1" x14ac:dyDescent="0.2"/>
    <row r="556" s="15" customFormat="1" x14ac:dyDescent="0.2"/>
    <row r="557" s="15" customFormat="1" x14ac:dyDescent="0.2"/>
    <row r="558" s="15" customFormat="1" x14ac:dyDescent="0.2"/>
    <row r="559" s="15" customFormat="1" x14ac:dyDescent="0.2"/>
    <row r="560" s="15" customFormat="1" x14ac:dyDescent="0.2"/>
    <row r="561" s="15" customFormat="1" x14ac:dyDescent="0.2"/>
    <row r="562" s="15" customFormat="1" x14ac:dyDescent="0.2"/>
    <row r="563" s="15" customFormat="1" x14ac:dyDescent="0.2"/>
    <row r="564" s="15" customFormat="1" x14ac:dyDescent="0.2"/>
    <row r="565" s="15" customFormat="1" x14ac:dyDescent="0.2"/>
    <row r="566" s="15" customFormat="1" x14ac:dyDescent="0.2"/>
    <row r="567" s="15" customFormat="1" x14ac:dyDescent="0.2"/>
    <row r="568" s="15" customFormat="1" x14ac:dyDescent="0.2"/>
    <row r="569" s="15" customFormat="1" x14ac:dyDescent="0.2"/>
    <row r="570" s="15" customFormat="1" x14ac:dyDescent="0.2"/>
    <row r="571" s="15" customFormat="1" x14ac:dyDescent="0.2"/>
    <row r="572" s="15" customFormat="1" x14ac:dyDescent="0.2"/>
    <row r="573" s="15" customFormat="1" x14ac:dyDescent="0.2"/>
    <row r="574" s="15" customFormat="1" x14ac:dyDescent="0.2"/>
    <row r="575" s="15" customFormat="1" x14ac:dyDescent="0.2"/>
    <row r="576" s="15" customFormat="1" x14ac:dyDescent="0.2"/>
    <row r="577" s="15" customFormat="1" x14ac:dyDescent="0.2"/>
    <row r="578" s="15" customFormat="1" x14ac:dyDescent="0.2"/>
    <row r="579" s="15" customFormat="1" x14ac:dyDescent="0.2"/>
    <row r="580" s="15" customFormat="1" x14ac:dyDescent="0.2"/>
    <row r="581" s="15" customFormat="1" x14ac:dyDescent="0.2"/>
    <row r="582" s="15" customFormat="1" x14ac:dyDescent="0.2"/>
    <row r="583" s="15" customFormat="1" x14ac:dyDescent="0.2"/>
    <row r="584" s="15" customFormat="1" x14ac:dyDescent="0.2"/>
    <row r="585" s="15" customFormat="1" x14ac:dyDescent="0.2"/>
    <row r="586" s="15" customFormat="1" x14ac:dyDescent="0.2"/>
    <row r="587" s="15" customFormat="1" x14ac:dyDescent="0.2"/>
    <row r="588" s="15" customFormat="1" x14ac:dyDescent="0.2"/>
    <row r="589" s="15" customFormat="1" x14ac:dyDescent="0.2"/>
    <row r="590" s="15" customFormat="1" x14ac:dyDescent="0.2"/>
    <row r="591" s="15" customFormat="1" x14ac:dyDescent="0.2"/>
    <row r="592" s="15" customFormat="1" x14ac:dyDescent="0.2"/>
    <row r="593" s="15" customFormat="1" x14ac:dyDescent="0.2"/>
    <row r="594" s="15" customFormat="1" x14ac:dyDescent="0.2"/>
    <row r="595" s="15" customFormat="1" x14ac:dyDescent="0.2"/>
    <row r="596" s="15" customFormat="1" x14ac:dyDescent="0.2"/>
    <row r="597" s="15" customFormat="1" x14ac:dyDescent="0.2"/>
    <row r="598" s="15" customFormat="1" x14ac:dyDescent="0.2"/>
    <row r="599" s="15" customFormat="1" x14ac:dyDescent="0.2"/>
    <row r="600" s="15" customFormat="1" x14ac:dyDescent="0.2"/>
    <row r="601" s="15" customFormat="1" x14ac:dyDescent="0.2"/>
    <row r="602" s="15" customFormat="1" x14ac:dyDescent="0.2"/>
    <row r="603" s="15" customFormat="1" x14ac:dyDescent="0.2"/>
    <row r="604" s="15" customFormat="1" x14ac:dyDescent="0.2"/>
    <row r="605" s="15" customFormat="1" x14ac:dyDescent="0.2"/>
    <row r="606" s="15" customFormat="1" x14ac:dyDescent="0.2"/>
    <row r="607" s="15" customFormat="1" x14ac:dyDescent="0.2"/>
    <row r="608" s="15" customFormat="1" x14ac:dyDescent="0.2"/>
    <row r="609" s="15" customFormat="1" x14ac:dyDescent="0.2"/>
    <row r="610" s="15" customFormat="1" x14ac:dyDescent="0.2"/>
    <row r="611" s="15" customFormat="1" x14ac:dyDescent="0.2"/>
    <row r="612" s="15" customFormat="1" x14ac:dyDescent="0.2"/>
    <row r="613" s="15" customFormat="1" x14ac:dyDescent="0.2"/>
    <row r="614" s="15" customFormat="1" x14ac:dyDescent="0.2"/>
    <row r="615" s="15" customFormat="1" x14ac:dyDescent="0.2"/>
    <row r="616" s="15" customFormat="1" x14ac:dyDescent="0.2"/>
    <row r="617" s="15" customFormat="1" x14ac:dyDescent="0.2"/>
    <row r="618" s="15" customFormat="1" x14ac:dyDescent="0.2"/>
    <row r="619" s="15" customFormat="1" x14ac:dyDescent="0.2"/>
    <row r="620" s="15" customFormat="1" x14ac:dyDescent="0.2"/>
    <row r="621" s="15" customFormat="1" x14ac:dyDescent="0.2"/>
    <row r="622" s="15" customFormat="1" x14ac:dyDescent="0.2"/>
    <row r="623" s="15" customFormat="1" x14ac:dyDescent="0.2"/>
    <row r="624" s="15" customFormat="1" x14ac:dyDescent="0.2"/>
    <row r="625" s="15" customFormat="1" x14ac:dyDescent="0.2"/>
    <row r="626" s="15" customFormat="1" x14ac:dyDescent="0.2"/>
    <row r="627" s="15" customFormat="1" x14ac:dyDescent="0.2"/>
    <row r="628" s="15" customFormat="1" x14ac:dyDescent="0.2"/>
    <row r="629" s="15" customFormat="1" x14ac:dyDescent="0.2"/>
    <row r="630" s="15" customFormat="1" x14ac:dyDescent="0.2"/>
    <row r="631" s="15" customFormat="1" x14ac:dyDescent="0.2"/>
    <row r="632" s="15" customFormat="1" x14ac:dyDescent="0.2"/>
    <row r="633" s="15" customFormat="1" x14ac:dyDescent="0.2"/>
    <row r="634" s="15" customFormat="1" x14ac:dyDescent="0.2"/>
    <row r="635" s="15" customFormat="1" x14ac:dyDescent="0.2"/>
    <row r="636" s="15" customFormat="1" x14ac:dyDescent="0.2"/>
    <row r="637" s="15" customFormat="1" x14ac:dyDescent="0.2"/>
    <row r="638" s="15" customFormat="1" x14ac:dyDescent="0.2"/>
    <row r="639" s="15" customFormat="1" x14ac:dyDescent="0.2"/>
    <row r="640" s="15" customFormat="1" x14ac:dyDescent="0.2"/>
    <row r="641" s="15" customFormat="1" x14ac:dyDescent="0.2"/>
    <row r="642" s="15" customFormat="1" x14ac:dyDescent="0.2"/>
    <row r="643" s="15" customFormat="1" x14ac:dyDescent="0.2"/>
    <row r="644" s="15" customFormat="1" x14ac:dyDescent="0.2"/>
    <row r="645" s="15" customFormat="1" x14ac:dyDescent="0.2"/>
    <row r="646" s="15" customFormat="1" x14ac:dyDescent="0.2"/>
    <row r="647" s="15" customFormat="1" x14ac:dyDescent="0.2"/>
    <row r="648" s="15" customFormat="1" x14ac:dyDescent="0.2"/>
    <row r="649" s="15" customFormat="1" x14ac:dyDescent="0.2"/>
    <row r="650" s="15" customFormat="1" x14ac:dyDescent="0.2"/>
    <row r="651" s="15" customFormat="1" x14ac:dyDescent="0.2"/>
    <row r="652" s="15" customFormat="1" x14ac:dyDescent="0.2"/>
    <row r="653" s="15" customFormat="1" x14ac:dyDescent="0.2"/>
    <row r="654" s="15" customFormat="1" x14ac:dyDescent="0.2"/>
    <row r="655" s="15" customFormat="1" x14ac:dyDescent="0.2"/>
    <row r="656" s="15" customFormat="1" x14ac:dyDescent="0.2"/>
    <row r="657" s="15" customFormat="1" x14ac:dyDescent="0.2"/>
    <row r="658" s="15" customFormat="1" x14ac:dyDescent="0.2"/>
    <row r="659" s="15" customFormat="1" x14ac:dyDescent="0.2"/>
    <row r="660" s="15" customFormat="1" x14ac:dyDescent="0.2"/>
    <row r="661" s="15" customFormat="1" x14ac:dyDescent="0.2"/>
    <row r="662" s="15" customFormat="1" x14ac:dyDescent="0.2"/>
    <row r="663" s="15" customFormat="1" x14ac:dyDescent="0.2"/>
    <row r="664" s="15" customFormat="1" x14ac:dyDescent="0.2"/>
    <row r="665" s="15" customFormat="1" x14ac:dyDescent="0.2"/>
    <row r="666" s="15" customFormat="1" x14ac:dyDescent="0.2"/>
    <row r="667" s="15" customFormat="1" x14ac:dyDescent="0.2"/>
    <row r="668" s="15" customFormat="1" x14ac:dyDescent="0.2"/>
    <row r="669" s="15" customFormat="1" x14ac:dyDescent="0.2"/>
    <row r="670" s="15" customFormat="1" x14ac:dyDescent="0.2"/>
    <row r="671" s="15" customFormat="1" x14ac:dyDescent="0.2"/>
    <row r="672" s="15" customFormat="1" x14ac:dyDescent="0.2"/>
    <row r="673" s="15" customFormat="1" x14ac:dyDescent="0.2"/>
    <row r="674" s="15" customFormat="1" x14ac:dyDescent="0.2"/>
    <row r="675" s="15" customFormat="1" x14ac:dyDescent="0.2"/>
    <row r="676" s="15" customFormat="1" x14ac:dyDescent="0.2"/>
    <row r="677" s="15" customFormat="1" x14ac:dyDescent="0.2"/>
    <row r="678" s="15" customFormat="1" x14ac:dyDescent="0.2"/>
    <row r="679" s="15" customFormat="1" x14ac:dyDescent="0.2"/>
    <row r="680" s="15" customFormat="1" x14ac:dyDescent="0.2"/>
    <row r="681" s="15" customFormat="1" x14ac:dyDescent="0.2"/>
    <row r="682" s="15" customFormat="1" x14ac:dyDescent="0.2"/>
    <row r="683" s="15" customFormat="1" x14ac:dyDescent="0.2"/>
    <row r="684" s="15" customFormat="1" x14ac:dyDescent="0.2"/>
    <row r="685" s="15" customFormat="1" x14ac:dyDescent="0.2"/>
    <row r="686" s="15" customFormat="1" x14ac:dyDescent="0.2"/>
    <row r="687" s="15" customFormat="1" x14ac:dyDescent="0.2"/>
    <row r="688" s="15" customFormat="1" x14ac:dyDescent="0.2"/>
    <row r="689" s="15" customFormat="1" x14ac:dyDescent="0.2"/>
    <row r="690" s="15" customFormat="1" x14ac:dyDescent="0.2"/>
    <row r="691" s="15" customFormat="1" x14ac:dyDescent="0.2"/>
    <row r="692" s="15" customFormat="1" x14ac:dyDescent="0.2"/>
    <row r="693" s="15" customFormat="1" x14ac:dyDescent="0.2"/>
    <row r="694" s="15" customFormat="1" x14ac:dyDescent="0.2"/>
    <row r="695" s="15" customFormat="1" x14ac:dyDescent="0.2"/>
    <row r="696" s="15" customFormat="1" x14ac:dyDescent="0.2"/>
    <row r="697" s="15" customFormat="1" x14ac:dyDescent="0.2"/>
    <row r="698" s="15" customFormat="1" x14ac:dyDescent="0.2"/>
    <row r="699" s="15" customFormat="1" x14ac:dyDescent="0.2"/>
    <row r="700" s="15" customFormat="1" x14ac:dyDescent="0.2"/>
    <row r="701" s="15" customFormat="1" x14ac:dyDescent="0.2"/>
    <row r="702" s="15" customFormat="1" x14ac:dyDescent="0.2"/>
    <row r="703" s="15" customFormat="1" x14ac:dyDescent="0.2"/>
    <row r="704" s="15" customFormat="1" x14ac:dyDescent="0.2"/>
    <row r="705" s="15" customFormat="1" x14ac:dyDescent="0.2"/>
    <row r="706" s="15" customFormat="1" x14ac:dyDescent="0.2"/>
    <row r="707" s="15" customFormat="1" x14ac:dyDescent="0.2"/>
    <row r="708" s="15" customFormat="1" x14ac:dyDescent="0.2"/>
    <row r="709" s="15" customFormat="1" x14ac:dyDescent="0.2"/>
    <row r="710" s="15" customFormat="1" x14ac:dyDescent="0.2"/>
    <row r="711" s="15" customFormat="1" x14ac:dyDescent="0.2"/>
    <row r="712" s="15" customFormat="1" x14ac:dyDescent="0.2"/>
    <row r="713" s="15" customFormat="1" x14ac:dyDescent="0.2"/>
    <row r="714" s="15" customFormat="1" x14ac:dyDescent="0.2"/>
    <row r="715" s="15" customFormat="1" x14ac:dyDescent="0.2"/>
    <row r="716" s="15" customFormat="1" x14ac:dyDescent="0.2"/>
    <row r="717" s="15" customFormat="1" x14ac:dyDescent="0.2"/>
    <row r="718" s="15" customFormat="1" x14ac:dyDescent="0.2"/>
    <row r="719" s="15" customFormat="1" x14ac:dyDescent="0.2"/>
    <row r="720" s="15" customFormat="1" x14ac:dyDescent="0.2"/>
    <row r="721" s="15" customFormat="1" x14ac:dyDescent="0.2"/>
    <row r="722" s="15" customFormat="1" x14ac:dyDescent="0.2"/>
    <row r="723" s="15" customFormat="1" x14ac:dyDescent="0.2"/>
    <row r="724" s="15" customFormat="1" x14ac:dyDescent="0.2"/>
    <row r="725" s="15" customFormat="1" x14ac:dyDescent="0.2"/>
    <row r="726" s="15" customFormat="1" x14ac:dyDescent="0.2"/>
    <row r="727" s="15" customFormat="1" x14ac:dyDescent="0.2"/>
    <row r="728" s="15" customFormat="1" x14ac:dyDescent="0.2"/>
    <row r="729" s="15" customFormat="1" x14ac:dyDescent="0.2"/>
    <row r="730" s="15" customFormat="1" x14ac:dyDescent="0.2"/>
    <row r="731" s="15" customFormat="1" x14ac:dyDescent="0.2"/>
    <row r="732" s="15" customFormat="1" x14ac:dyDescent="0.2"/>
    <row r="733" s="15" customFormat="1" x14ac:dyDescent="0.2"/>
    <row r="734" s="15" customFormat="1" x14ac:dyDescent="0.2"/>
    <row r="735" s="15" customFormat="1" x14ac:dyDescent="0.2"/>
    <row r="736" s="15" customFormat="1" x14ac:dyDescent="0.2"/>
    <row r="737" s="15" customFormat="1" x14ac:dyDescent="0.2"/>
    <row r="738" s="15" customFormat="1" x14ac:dyDescent="0.2"/>
    <row r="739" s="15" customFormat="1" x14ac:dyDescent="0.2"/>
    <row r="740" s="15" customFormat="1" x14ac:dyDescent="0.2"/>
    <row r="741" s="15" customFormat="1" x14ac:dyDescent="0.2"/>
    <row r="742" s="15" customFormat="1" x14ac:dyDescent="0.2"/>
    <row r="743" s="15" customFormat="1" x14ac:dyDescent="0.2"/>
    <row r="744" s="15" customFormat="1" x14ac:dyDescent="0.2"/>
    <row r="745" s="15" customFormat="1" x14ac:dyDescent="0.2"/>
    <row r="746" s="15" customFormat="1" x14ac:dyDescent="0.2"/>
    <row r="747" s="15" customFormat="1" x14ac:dyDescent="0.2"/>
    <row r="748" s="15" customFormat="1" x14ac:dyDescent="0.2"/>
    <row r="749" s="15" customFormat="1" x14ac:dyDescent="0.2"/>
    <row r="750" s="15" customFormat="1" x14ac:dyDescent="0.2"/>
    <row r="751" s="15" customFormat="1" x14ac:dyDescent="0.2"/>
    <row r="752" s="15" customFormat="1" x14ac:dyDescent="0.2"/>
    <row r="753" s="15" customFormat="1" x14ac:dyDescent="0.2"/>
    <row r="754" s="15" customFormat="1" x14ac:dyDescent="0.2"/>
    <row r="755" s="15" customFormat="1" x14ac:dyDescent="0.2"/>
    <row r="756" s="15" customFormat="1" x14ac:dyDescent="0.2"/>
    <row r="757" s="15" customFormat="1" x14ac:dyDescent="0.2"/>
    <row r="758" s="15" customFormat="1" x14ac:dyDescent="0.2"/>
    <row r="759" s="15" customFormat="1" x14ac:dyDescent="0.2"/>
    <row r="760" s="15" customFormat="1" x14ac:dyDescent="0.2"/>
    <row r="761" s="15" customFormat="1" x14ac:dyDescent="0.2"/>
    <row r="762" s="15" customFormat="1" x14ac:dyDescent="0.2"/>
    <row r="763" s="15" customFormat="1" x14ac:dyDescent="0.2"/>
    <row r="764" s="15" customFormat="1" x14ac:dyDescent="0.2"/>
    <row r="765" s="15" customFormat="1" x14ac:dyDescent="0.2"/>
    <row r="766" s="15" customFormat="1" x14ac:dyDescent="0.2"/>
    <row r="767" s="15" customFormat="1" x14ac:dyDescent="0.2"/>
    <row r="768" s="15" customFormat="1" x14ac:dyDescent="0.2"/>
    <row r="769" s="15" customFormat="1" x14ac:dyDescent="0.2"/>
    <row r="770" s="15" customFormat="1" x14ac:dyDescent="0.2"/>
    <row r="771" s="15" customFormat="1" x14ac:dyDescent="0.2"/>
    <row r="772" s="15" customFormat="1" x14ac:dyDescent="0.2"/>
    <row r="773" s="15" customFormat="1" x14ac:dyDescent="0.2"/>
    <row r="774" s="15" customFormat="1" x14ac:dyDescent="0.2"/>
    <row r="775" s="15" customFormat="1" x14ac:dyDescent="0.2"/>
    <row r="776" s="15" customFormat="1" x14ac:dyDescent="0.2"/>
    <row r="777" s="15" customFormat="1" x14ac:dyDescent="0.2"/>
    <row r="778" s="15" customFormat="1" x14ac:dyDescent="0.2"/>
    <row r="779" s="15" customFormat="1" x14ac:dyDescent="0.2"/>
    <row r="780" s="15" customFormat="1" x14ac:dyDescent="0.2"/>
    <row r="781" s="15" customFormat="1" x14ac:dyDescent="0.2"/>
    <row r="782" s="15" customFormat="1" x14ac:dyDescent="0.2"/>
    <row r="783" s="15" customFormat="1" x14ac:dyDescent="0.2"/>
    <row r="784" s="15" customFormat="1" x14ac:dyDescent="0.2"/>
    <row r="785" s="15" customFormat="1" x14ac:dyDescent="0.2"/>
    <row r="786" s="15" customFormat="1" x14ac:dyDescent="0.2"/>
    <row r="787" s="15" customFormat="1" x14ac:dyDescent="0.2"/>
    <row r="788" s="15" customFormat="1" x14ac:dyDescent="0.2"/>
    <row r="789" s="15" customFormat="1" x14ac:dyDescent="0.2"/>
    <row r="790" s="15" customFormat="1" x14ac:dyDescent="0.2"/>
    <row r="791" s="15" customFormat="1" x14ac:dyDescent="0.2"/>
    <row r="792" s="15" customFormat="1" x14ac:dyDescent="0.2"/>
    <row r="793" s="15" customFormat="1" x14ac:dyDescent="0.2"/>
    <row r="794" s="15" customFormat="1" x14ac:dyDescent="0.2"/>
    <row r="795" s="15" customFormat="1" x14ac:dyDescent="0.2"/>
    <row r="796" s="15" customFormat="1" x14ac:dyDescent="0.2"/>
    <row r="797" s="15" customFormat="1" x14ac:dyDescent="0.2"/>
    <row r="798" s="15" customFormat="1" x14ac:dyDescent="0.2"/>
    <row r="799" s="15" customFormat="1" x14ac:dyDescent="0.2"/>
    <row r="800" s="15" customFormat="1" x14ac:dyDescent="0.2"/>
    <row r="801" s="15" customFormat="1" x14ac:dyDescent="0.2"/>
    <row r="802" s="15" customFormat="1" x14ac:dyDescent="0.2"/>
    <row r="803" s="15" customFormat="1" x14ac:dyDescent="0.2"/>
    <row r="804" s="15" customFormat="1" x14ac:dyDescent="0.2"/>
    <row r="805" s="15" customFormat="1" x14ac:dyDescent="0.2"/>
    <row r="806" s="15" customFormat="1" x14ac:dyDescent="0.2"/>
    <row r="807" s="15" customFormat="1" x14ac:dyDescent="0.2"/>
    <row r="808" s="15" customFormat="1" x14ac:dyDescent="0.2"/>
    <row r="809" s="15" customFormat="1" x14ac:dyDescent="0.2"/>
    <row r="810" s="15" customFormat="1" x14ac:dyDescent="0.2"/>
    <row r="811" s="15" customFormat="1" x14ac:dyDescent="0.2"/>
    <row r="812" s="15" customFormat="1" x14ac:dyDescent="0.2"/>
    <row r="813" s="15" customFormat="1" x14ac:dyDescent="0.2"/>
    <row r="814" s="15" customFormat="1" x14ac:dyDescent="0.2"/>
    <row r="815" s="15" customFormat="1" x14ac:dyDescent="0.2"/>
    <row r="816" s="15" customFormat="1" x14ac:dyDescent="0.2"/>
    <row r="817" s="15" customFormat="1" x14ac:dyDescent="0.2"/>
    <row r="818" s="15" customFormat="1" x14ac:dyDescent="0.2"/>
    <row r="819" s="15" customFormat="1" x14ac:dyDescent="0.2"/>
    <row r="820" s="15" customFormat="1" x14ac:dyDescent="0.2"/>
    <row r="821" s="15" customFormat="1" x14ac:dyDescent="0.2"/>
    <row r="822" s="15" customFormat="1" x14ac:dyDescent="0.2"/>
    <row r="823" s="15" customFormat="1" x14ac:dyDescent="0.2"/>
    <row r="824" s="15" customFormat="1" x14ac:dyDescent="0.2"/>
    <row r="825" s="15" customFormat="1" x14ac:dyDescent="0.2"/>
    <row r="826" s="15" customFormat="1" x14ac:dyDescent="0.2"/>
    <row r="827" s="15" customFormat="1" x14ac:dyDescent="0.2"/>
    <row r="828" s="15" customFormat="1" x14ac:dyDescent="0.2"/>
    <row r="829" s="15" customFormat="1" x14ac:dyDescent="0.2"/>
    <row r="830" s="15" customFormat="1" x14ac:dyDescent="0.2"/>
    <row r="831" s="15" customFormat="1" x14ac:dyDescent="0.2"/>
    <row r="832" s="15" customFormat="1" x14ac:dyDescent="0.2"/>
    <row r="833" s="15" customFormat="1" x14ac:dyDescent="0.2"/>
    <row r="834" s="15" customFormat="1" x14ac:dyDescent="0.2"/>
    <row r="835" s="15" customFormat="1" x14ac:dyDescent="0.2"/>
    <row r="836" s="15" customFormat="1" x14ac:dyDescent="0.2"/>
    <row r="837" s="15" customFormat="1" x14ac:dyDescent="0.2"/>
    <row r="838" s="15" customFormat="1" x14ac:dyDescent="0.2"/>
    <row r="839" s="15" customFormat="1" x14ac:dyDescent="0.2"/>
    <row r="840" s="15" customFormat="1" x14ac:dyDescent="0.2"/>
    <row r="841" s="15" customFormat="1" x14ac:dyDescent="0.2"/>
    <row r="842" s="15" customFormat="1" x14ac:dyDescent="0.2"/>
    <row r="843" s="15" customFormat="1" x14ac:dyDescent="0.2"/>
    <row r="844" s="15" customFormat="1" x14ac:dyDescent="0.2"/>
    <row r="845" s="15" customFormat="1" x14ac:dyDescent="0.2"/>
    <row r="846" s="15" customFormat="1" x14ac:dyDescent="0.2"/>
    <row r="847" s="15" customFormat="1" x14ac:dyDescent="0.2"/>
    <row r="848" s="15" customFormat="1" x14ac:dyDescent="0.2"/>
    <row r="849" s="15" customFormat="1" x14ac:dyDescent="0.2"/>
    <row r="850" s="15" customFormat="1" x14ac:dyDescent="0.2"/>
    <row r="851" s="15" customFormat="1" x14ac:dyDescent="0.2"/>
    <row r="852" s="15" customFormat="1" x14ac:dyDescent="0.2"/>
    <row r="853" s="15" customFormat="1" x14ac:dyDescent="0.2"/>
    <row r="854" s="15" customFormat="1" x14ac:dyDescent="0.2"/>
    <row r="855" s="15" customFormat="1" x14ac:dyDescent="0.2"/>
    <row r="856" s="15" customFormat="1" x14ac:dyDescent="0.2"/>
    <row r="857" s="15" customFormat="1" x14ac:dyDescent="0.2"/>
    <row r="858" s="15" customFormat="1" x14ac:dyDescent="0.2"/>
    <row r="859" s="15" customFormat="1" x14ac:dyDescent="0.2"/>
    <row r="860" s="15" customFormat="1" x14ac:dyDescent="0.2"/>
    <row r="861" s="15" customFormat="1" x14ac:dyDescent="0.2"/>
    <row r="862" s="15" customFormat="1" x14ac:dyDescent="0.2"/>
    <row r="863" s="15" customFormat="1" x14ac:dyDescent="0.2"/>
    <row r="864" s="15" customFormat="1" x14ac:dyDescent="0.2"/>
    <row r="865" s="15" customFormat="1" x14ac:dyDescent="0.2"/>
    <row r="866" s="15" customFormat="1" x14ac:dyDescent="0.2"/>
    <row r="867" s="15" customFormat="1" x14ac:dyDescent="0.2"/>
    <row r="868" s="15" customFormat="1" x14ac:dyDescent="0.2"/>
    <row r="869" s="15" customFormat="1" x14ac:dyDescent="0.2"/>
    <row r="870" s="15" customFormat="1" x14ac:dyDescent="0.2"/>
    <row r="871" s="15" customFormat="1" x14ac:dyDescent="0.2"/>
    <row r="872" s="15" customFormat="1" x14ac:dyDescent="0.2"/>
    <row r="873" s="15" customFormat="1" x14ac:dyDescent="0.2"/>
    <row r="874" s="15" customFormat="1" x14ac:dyDescent="0.2"/>
    <row r="875" s="15" customFormat="1" x14ac:dyDescent="0.2"/>
    <row r="876" s="15" customFormat="1" x14ac:dyDescent="0.2"/>
    <row r="877" s="15" customFormat="1" x14ac:dyDescent="0.2"/>
    <row r="878" s="15" customFormat="1" x14ac:dyDescent="0.2"/>
    <row r="879" s="15" customFormat="1" x14ac:dyDescent="0.2"/>
    <row r="880" s="15" customFormat="1" x14ac:dyDescent="0.2"/>
    <row r="881" s="15" customFormat="1" x14ac:dyDescent="0.2"/>
    <row r="882" s="15" customFormat="1" x14ac:dyDescent="0.2"/>
    <row r="883" s="15" customFormat="1" x14ac:dyDescent="0.2"/>
    <row r="884" s="15" customFormat="1" x14ac:dyDescent="0.2"/>
    <row r="885" s="15" customFormat="1" x14ac:dyDescent="0.2"/>
    <row r="886" s="15" customFormat="1" x14ac:dyDescent="0.2"/>
    <row r="887" s="15" customFormat="1" x14ac:dyDescent="0.2"/>
    <row r="888" s="15" customFormat="1" x14ac:dyDescent="0.2"/>
    <row r="889" s="15" customFormat="1" x14ac:dyDescent="0.2"/>
    <row r="890" s="15" customFormat="1" x14ac:dyDescent="0.2"/>
    <row r="891" s="15" customFormat="1" x14ac:dyDescent="0.2"/>
    <row r="892" s="15" customFormat="1" x14ac:dyDescent="0.2"/>
    <row r="893" s="15" customFormat="1" x14ac:dyDescent="0.2"/>
    <row r="894" s="15" customFormat="1" x14ac:dyDescent="0.2"/>
    <row r="895" s="15" customFormat="1" x14ac:dyDescent="0.2"/>
    <row r="896" s="15" customFormat="1" x14ac:dyDescent="0.2"/>
    <row r="897" s="15" customFormat="1" x14ac:dyDescent="0.2"/>
    <row r="898" s="15" customFormat="1" x14ac:dyDescent="0.2"/>
    <row r="899" s="15" customFormat="1" x14ac:dyDescent="0.2"/>
    <row r="900" s="15" customFormat="1" x14ac:dyDescent="0.2"/>
    <row r="901" s="15" customFormat="1" x14ac:dyDescent="0.2"/>
    <row r="902" s="15" customFormat="1" x14ac:dyDescent="0.2"/>
    <row r="903" s="15" customFormat="1" x14ac:dyDescent="0.2"/>
    <row r="904" s="15" customFormat="1" x14ac:dyDescent="0.2"/>
    <row r="905" s="15" customFormat="1" x14ac:dyDescent="0.2"/>
    <row r="906" s="15" customFormat="1" x14ac:dyDescent="0.2"/>
    <row r="907" s="15" customFormat="1" x14ac:dyDescent="0.2"/>
    <row r="908" s="15" customFormat="1" x14ac:dyDescent="0.2"/>
    <row r="909" s="15" customFormat="1" x14ac:dyDescent="0.2"/>
    <row r="910" s="15" customFormat="1" x14ac:dyDescent="0.2"/>
    <row r="911" s="15" customFormat="1" x14ac:dyDescent="0.2"/>
    <row r="912" s="15" customFormat="1" x14ac:dyDescent="0.2"/>
    <row r="913" s="15" customFormat="1" x14ac:dyDescent="0.2"/>
    <row r="914" s="15" customFormat="1" x14ac:dyDescent="0.2"/>
    <row r="915" s="15" customFormat="1" x14ac:dyDescent="0.2"/>
    <row r="916" s="15" customFormat="1" x14ac:dyDescent="0.2"/>
    <row r="917" s="15" customFormat="1" x14ac:dyDescent="0.2"/>
    <row r="918" s="15" customFormat="1" x14ac:dyDescent="0.2"/>
    <row r="919" s="15" customFormat="1" x14ac:dyDescent="0.2"/>
    <row r="920" s="15" customFormat="1" x14ac:dyDescent="0.2"/>
    <row r="921" s="15" customFormat="1" x14ac:dyDescent="0.2"/>
    <row r="922" s="15" customFormat="1" x14ac:dyDescent="0.2"/>
    <row r="923" s="15" customFormat="1" x14ac:dyDescent="0.2"/>
    <row r="924" s="15" customFormat="1" x14ac:dyDescent="0.2"/>
    <row r="925" s="15" customFormat="1" x14ac:dyDescent="0.2"/>
    <row r="926" s="15" customFormat="1" x14ac:dyDescent="0.2"/>
    <row r="927" s="15" customFormat="1" x14ac:dyDescent="0.2"/>
    <row r="928" s="15" customFormat="1" x14ac:dyDescent="0.2"/>
    <row r="929" s="15" customFormat="1" x14ac:dyDescent="0.2"/>
    <row r="930" s="15" customFormat="1" x14ac:dyDescent="0.2"/>
    <row r="931" s="15" customFormat="1" x14ac:dyDescent="0.2"/>
    <row r="932" s="15" customFormat="1" x14ac:dyDescent="0.2"/>
    <row r="933" s="15" customFormat="1" x14ac:dyDescent="0.2"/>
    <row r="934" s="15" customFormat="1" x14ac:dyDescent="0.2"/>
    <row r="935" s="15" customFormat="1" x14ac:dyDescent="0.2"/>
    <row r="936" s="15" customFormat="1" x14ac:dyDescent="0.2"/>
    <row r="937" s="15" customFormat="1" x14ac:dyDescent="0.2"/>
    <row r="938" s="15" customFormat="1" x14ac:dyDescent="0.2"/>
    <row r="939" s="15" customFormat="1" x14ac:dyDescent="0.2"/>
    <row r="940" s="15" customFormat="1" x14ac:dyDescent="0.2"/>
    <row r="941" s="15" customFormat="1" x14ac:dyDescent="0.2"/>
    <row r="942" s="15" customFormat="1" x14ac:dyDescent="0.2"/>
    <row r="943" s="15" customFormat="1" x14ac:dyDescent="0.2"/>
    <row r="944" s="15" customFormat="1" x14ac:dyDescent="0.2"/>
    <row r="945" s="15" customFormat="1" x14ac:dyDescent="0.2"/>
    <row r="946" s="15" customFormat="1" x14ac:dyDescent="0.2"/>
    <row r="947" s="15" customFormat="1" x14ac:dyDescent="0.2"/>
    <row r="948" s="15" customFormat="1" x14ac:dyDescent="0.2"/>
    <row r="949" s="15" customFormat="1" x14ac:dyDescent="0.2"/>
    <row r="950" s="15" customFormat="1" x14ac:dyDescent="0.2"/>
    <row r="951" s="15" customFormat="1" x14ac:dyDescent="0.2"/>
    <row r="952" s="15" customFormat="1" x14ac:dyDescent="0.2"/>
    <row r="953" s="15" customFormat="1" x14ac:dyDescent="0.2"/>
    <row r="954" s="15" customFormat="1" x14ac:dyDescent="0.2"/>
    <row r="955" s="15" customFormat="1" x14ac:dyDescent="0.2"/>
    <row r="956" s="15" customFormat="1" x14ac:dyDescent="0.2"/>
    <row r="957" s="15" customFormat="1" x14ac:dyDescent="0.2"/>
    <row r="958" s="15" customFormat="1" x14ac:dyDescent="0.2"/>
    <row r="959" s="15" customFormat="1" x14ac:dyDescent="0.2"/>
    <row r="960" s="15" customFormat="1" x14ac:dyDescent="0.2"/>
    <row r="961" s="15" customFormat="1" x14ac:dyDescent="0.2"/>
    <row r="962" s="15" customFormat="1" x14ac:dyDescent="0.2"/>
    <row r="963" s="15" customFormat="1" x14ac:dyDescent="0.2"/>
    <row r="964" s="15" customFormat="1" x14ac:dyDescent="0.2"/>
    <row r="965" s="15" customFormat="1" x14ac:dyDescent="0.2"/>
    <row r="966" s="15" customFormat="1" x14ac:dyDescent="0.2"/>
    <row r="967" s="15" customFormat="1" x14ac:dyDescent="0.2"/>
    <row r="968" s="15" customFormat="1" x14ac:dyDescent="0.2"/>
    <row r="969" s="15" customFormat="1" x14ac:dyDescent="0.2"/>
    <row r="970" s="15" customFormat="1" x14ac:dyDescent="0.2"/>
    <row r="971" s="15" customFormat="1" x14ac:dyDescent="0.2"/>
    <row r="972" s="15" customFormat="1" x14ac:dyDescent="0.2"/>
    <row r="973" s="15" customFormat="1" x14ac:dyDescent="0.2"/>
    <row r="974" s="15" customFormat="1" x14ac:dyDescent="0.2"/>
    <row r="975" s="15" customFormat="1" x14ac:dyDescent="0.2"/>
    <row r="976" s="15" customFormat="1" x14ac:dyDescent="0.2"/>
    <row r="977" s="15" customFormat="1" x14ac:dyDescent="0.2"/>
    <row r="978" s="15" customFormat="1" x14ac:dyDescent="0.2"/>
    <row r="979" s="15" customFormat="1" x14ac:dyDescent="0.2"/>
    <row r="980" s="15" customFormat="1" x14ac:dyDescent="0.2"/>
    <row r="981" s="15" customFormat="1" x14ac:dyDescent="0.2"/>
    <row r="982" s="15" customFormat="1" x14ac:dyDescent="0.2"/>
    <row r="983" s="15" customFormat="1" x14ac:dyDescent="0.2"/>
    <row r="984" s="15" customFormat="1" x14ac:dyDescent="0.2"/>
    <row r="985" s="15" customFormat="1" x14ac:dyDescent="0.2"/>
    <row r="986" s="15" customFormat="1" x14ac:dyDescent="0.2"/>
    <row r="987" s="15" customFormat="1" x14ac:dyDescent="0.2"/>
    <row r="988" s="15" customFormat="1" x14ac:dyDescent="0.2"/>
    <row r="989" s="15" customFormat="1" x14ac:dyDescent="0.2"/>
    <row r="990" s="15" customFormat="1" x14ac:dyDescent="0.2"/>
    <row r="991" s="15" customFormat="1" x14ac:dyDescent="0.2"/>
    <row r="992" s="15" customFormat="1" x14ac:dyDescent="0.2"/>
    <row r="993" s="15" customFormat="1" x14ac:dyDescent="0.2"/>
    <row r="994" s="15" customFormat="1" x14ac:dyDescent="0.2"/>
    <row r="995" s="15" customFormat="1" x14ac:dyDescent="0.2"/>
    <row r="996" s="15" customFormat="1" x14ac:dyDescent="0.2"/>
    <row r="997" s="15" customFormat="1" x14ac:dyDescent="0.2"/>
    <row r="998" s="15" customFormat="1" x14ac:dyDescent="0.2"/>
    <row r="999" s="15" customFormat="1" x14ac:dyDescent="0.2"/>
    <row r="1000" s="15" customFormat="1" x14ac:dyDescent="0.2"/>
    <row r="1001" s="15" customFormat="1" x14ac:dyDescent="0.2"/>
    <row r="1002" s="15" customFormat="1" x14ac:dyDescent="0.2"/>
    <row r="1003" s="15" customForma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selection activeCell="H7" sqref="H7"/>
    </sheetView>
  </sheetViews>
  <sheetFormatPr baseColWidth="10" defaultColWidth="12.625" defaultRowHeight="12" x14ac:dyDescent="0.2"/>
  <cols>
    <col min="1" max="1" width="19.25" style="15" bestFit="1" customWidth="1"/>
    <col min="2" max="2" width="18.5" style="15" bestFit="1" customWidth="1"/>
    <col min="3" max="3" width="10.25" style="15" bestFit="1" customWidth="1"/>
    <col min="4" max="4" width="5.875" style="15" bestFit="1" customWidth="1"/>
    <col min="5" max="5" width="20.125" style="15" bestFit="1" customWidth="1"/>
    <col min="6" max="6" width="8.875" style="15" bestFit="1" customWidth="1"/>
    <col min="7" max="7" width="11.75" style="15" customWidth="1"/>
    <col min="8" max="8" width="9.75" style="15" customWidth="1"/>
    <col min="9" max="9" width="14.75" style="15" customWidth="1"/>
    <col min="10" max="10" width="9.25" style="15" customWidth="1"/>
    <col min="11" max="18" width="9.375" style="15" customWidth="1"/>
    <col min="19" max="16384" width="12.625" style="15"/>
  </cols>
  <sheetData>
    <row r="1" spans="1:10" x14ac:dyDescent="0.2">
      <c r="A1" s="14"/>
      <c r="B1" s="15" t="s">
        <v>108</v>
      </c>
    </row>
    <row r="3" spans="1:10" x14ac:dyDescent="0.2">
      <c r="A3" s="16" t="s">
        <v>28</v>
      </c>
      <c r="B3" s="14">
        <v>540</v>
      </c>
      <c r="D3" s="14"/>
      <c r="F3" s="14"/>
      <c r="G3" s="17"/>
      <c r="H3" s="17"/>
    </row>
    <row r="5" spans="1:10" x14ac:dyDescent="0.2">
      <c r="A5" s="18" t="s">
        <v>29</v>
      </c>
    </row>
    <row r="6" spans="1:10" ht="24" x14ac:dyDescent="0.2">
      <c r="A6" s="18" t="s">
        <v>30</v>
      </c>
      <c r="B6" s="19" t="s">
        <v>31</v>
      </c>
      <c r="C6" s="15" t="s">
        <v>32</v>
      </c>
      <c r="E6" s="14"/>
      <c r="G6" s="20" t="s">
        <v>33</v>
      </c>
      <c r="H6" s="21">
        <v>730</v>
      </c>
      <c r="I6" s="22" t="s">
        <v>109</v>
      </c>
    </row>
    <row r="7" spans="1:10" x14ac:dyDescent="0.2">
      <c r="A7" s="18"/>
    </row>
    <row r="8" spans="1:10" x14ac:dyDescent="0.2">
      <c r="A8" s="18"/>
      <c r="B8" s="19"/>
      <c r="C8" s="19"/>
      <c r="D8" s="19"/>
      <c r="G8" s="49"/>
      <c r="H8" s="50"/>
      <c r="I8" s="50"/>
      <c r="J8" s="51"/>
    </row>
    <row r="9" spans="1:10" x14ac:dyDescent="0.2">
      <c r="A9" s="18" t="s">
        <v>34</v>
      </c>
      <c r="E9" s="21" t="s">
        <v>35</v>
      </c>
      <c r="F9" s="21" t="s">
        <v>36</v>
      </c>
      <c r="G9" s="21" t="s">
        <v>37</v>
      </c>
      <c r="H9" s="21" t="s">
        <v>38</v>
      </c>
      <c r="I9" s="21" t="s">
        <v>39</v>
      </c>
      <c r="J9" s="21" t="s">
        <v>40</v>
      </c>
    </row>
    <row r="10" spans="1:10" x14ac:dyDescent="0.2">
      <c r="A10" s="18"/>
      <c r="D10" s="15" t="s">
        <v>60</v>
      </c>
      <c r="E10" s="22" t="s">
        <v>41</v>
      </c>
      <c r="F10" s="22">
        <f t="shared" ref="F10:F11" si="0">19282.5/2</f>
        <v>9641.25</v>
      </c>
      <c r="G10" s="23">
        <f>+Datos!C20</f>
        <v>4860</v>
      </c>
      <c r="H10" s="23">
        <f t="shared" ref="H10:H18" si="1">G10*F10/1000</f>
        <v>46856.474999999999</v>
      </c>
      <c r="I10" s="23">
        <f t="shared" ref="I10:I18" si="2">+H10/$H$6</f>
        <v>64.186952054794517</v>
      </c>
      <c r="J10" s="23">
        <f t="shared" ref="J10:J18" si="3">I10/2</f>
        <v>32.093476027397259</v>
      </c>
    </row>
    <row r="11" spans="1:10" x14ac:dyDescent="0.2">
      <c r="A11" s="18"/>
      <c r="D11" s="15" t="s">
        <v>61</v>
      </c>
      <c r="E11" s="22" t="s">
        <v>42</v>
      </c>
      <c r="F11" s="22">
        <f t="shared" si="0"/>
        <v>9641.25</v>
      </c>
      <c r="G11" s="23">
        <f>+Datos!C21</f>
        <v>6006</v>
      </c>
      <c r="H11" s="23">
        <f t="shared" si="1"/>
        <v>57905.347500000003</v>
      </c>
      <c r="I11" s="23">
        <f t="shared" si="2"/>
        <v>79.322393835616438</v>
      </c>
      <c r="J11" s="23">
        <f t="shared" si="3"/>
        <v>39.661196917808219</v>
      </c>
    </row>
    <row r="12" spans="1:10" x14ac:dyDescent="0.2">
      <c r="A12" s="18"/>
      <c r="D12" s="15" t="s">
        <v>62</v>
      </c>
      <c r="E12" s="22" t="s">
        <v>43</v>
      </c>
      <c r="F12" s="22">
        <v>3857.5</v>
      </c>
      <c r="G12" s="23">
        <f>+Datos!C22</f>
        <v>322</v>
      </c>
      <c r="H12" s="23">
        <f t="shared" si="1"/>
        <v>1242.115</v>
      </c>
      <c r="I12" s="23">
        <f t="shared" si="2"/>
        <v>1.701527397260274</v>
      </c>
      <c r="J12" s="23">
        <f t="shared" si="3"/>
        <v>0.85076369863013701</v>
      </c>
    </row>
    <row r="13" spans="1:10" x14ac:dyDescent="0.2">
      <c r="A13" s="18"/>
      <c r="D13" s="15" t="s">
        <v>63</v>
      </c>
      <c r="E13" s="22" t="s">
        <v>44</v>
      </c>
      <c r="F13" s="22">
        <v>61.5</v>
      </c>
      <c r="G13" s="23">
        <f>+Datos!C23</f>
        <v>18200</v>
      </c>
      <c r="H13" s="23">
        <f t="shared" si="1"/>
        <v>1119.3</v>
      </c>
      <c r="I13" s="23">
        <f t="shared" si="2"/>
        <v>1.5332876712328767</v>
      </c>
      <c r="J13" s="23">
        <f t="shared" si="3"/>
        <v>0.76664383561643834</v>
      </c>
    </row>
    <row r="14" spans="1:10" x14ac:dyDescent="0.2">
      <c r="A14" s="18"/>
      <c r="D14" s="15" t="s">
        <v>64</v>
      </c>
      <c r="E14" s="22" t="s">
        <v>45</v>
      </c>
      <c r="F14" s="22">
        <v>41.25</v>
      </c>
      <c r="G14" s="23">
        <f>+Datos!C24</f>
        <v>3404</v>
      </c>
      <c r="H14" s="23">
        <f t="shared" si="1"/>
        <v>140.41499999999999</v>
      </c>
      <c r="I14" s="23">
        <f t="shared" si="2"/>
        <v>0.19234931506849315</v>
      </c>
      <c r="J14" s="23">
        <f t="shared" si="3"/>
        <v>9.6174657534246574E-2</v>
      </c>
    </row>
    <row r="15" spans="1:10" x14ac:dyDescent="0.2">
      <c r="A15" s="18"/>
      <c r="D15" s="15" t="s">
        <v>65</v>
      </c>
      <c r="E15" s="22" t="s">
        <v>46</v>
      </c>
      <c r="F15" s="22">
        <v>900</v>
      </c>
      <c r="G15" s="23">
        <f>+Datos!C25</f>
        <v>753</v>
      </c>
      <c r="H15" s="23">
        <f t="shared" si="1"/>
        <v>677.7</v>
      </c>
      <c r="I15" s="23">
        <f t="shared" si="2"/>
        <v>0.92835616438356172</v>
      </c>
      <c r="J15" s="23">
        <f t="shared" si="3"/>
        <v>0.46417808219178086</v>
      </c>
    </row>
    <row r="16" spans="1:10" x14ac:dyDescent="0.2">
      <c r="A16" s="18"/>
      <c r="D16" s="15" t="s">
        <v>66</v>
      </c>
      <c r="E16" s="22" t="s">
        <v>47</v>
      </c>
      <c r="F16" s="22">
        <v>514.25</v>
      </c>
      <c r="G16" s="23">
        <f>+Datos!C26</f>
        <v>8892.75</v>
      </c>
      <c r="H16" s="23">
        <f t="shared" si="1"/>
        <v>4573.0966875000004</v>
      </c>
      <c r="I16" s="23">
        <f t="shared" si="2"/>
        <v>6.2645160102739732</v>
      </c>
      <c r="J16" s="23">
        <f t="shared" si="3"/>
        <v>3.1322580051369866</v>
      </c>
    </row>
    <row r="17" spans="1:10" x14ac:dyDescent="0.2">
      <c r="A17" s="18"/>
      <c r="D17" s="15" t="s">
        <v>67</v>
      </c>
      <c r="E17" s="22" t="s">
        <v>48</v>
      </c>
      <c r="F17" s="22">
        <v>52.06</v>
      </c>
      <c r="G17" s="23">
        <f>+Datos!C27*Datos!$C$19</f>
        <v>10077.5</v>
      </c>
      <c r="H17" s="23">
        <f t="shared" si="1"/>
        <v>524.63465000000008</v>
      </c>
      <c r="I17" s="23">
        <f t="shared" si="2"/>
        <v>0.71867760273972614</v>
      </c>
      <c r="J17" s="23">
        <f t="shared" si="3"/>
        <v>0.35933880136986307</v>
      </c>
    </row>
    <row r="18" spans="1:10" x14ac:dyDescent="0.2">
      <c r="A18" s="18"/>
      <c r="D18" s="15" t="s">
        <v>68</v>
      </c>
      <c r="E18" s="22" t="s">
        <v>49</v>
      </c>
      <c r="F18" s="22">
        <v>21.1</v>
      </c>
      <c r="G18" s="23">
        <f>+Datos!C28*Datos!$C$19</f>
        <v>11745</v>
      </c>
      <c r="H18" s="23">
        <f t="shared" si="1"/>
        <v>247.81950000000003</v>
      </c>
      <c r="I18" s="23">
        <f t="shared" si="2"/>
        <v>0.33947876712328773</v>
      </c>
      <c r="J18" s="23">
        <f t="shared" si="3"/>
        <v>0.16973938356164386</v>
      </c>
    </row>
    <row r="19" spans="1:10" x14ac:dyDescent="0.2">
      <c r="A19" s="18"/>
      <c r="E19" s="21" t="s">
        <v>50</v>
      </c>
      <c r="F19" s="21">
        <f>SUM(F10:F18)</f>
        <v>24730.16</v>
      </c>
      <c r="G19" s="24"/>
      <c r="H19" s="24">
        <f t="shared" ref="H19:J19" si="4">SUM(H10:H18)</f>
        <v>113286.90333750001</v>
      </c>
      <c r="I19" s="24">
        <f t="shared" si="4"/>
        <v>155.18753881849312</v>
      </c>
      <c r="J19" s="24">
        <f t="shared" si="4"/>
        <v>77.593769409246562</v>
      </c>
    </row>
    <row r="20" spans="1:10" x14ac:dyDescent="0.2">
      <c r="A20" s="18"/>
      <c r="C20" s="14"/>
      <c r="D20" s="15" t="s">
        <v>69</v>
      </c>
      <c r="E20" s="21" t="s">
        <v>51</v>
      </c>
      <c r="F20" s="21">
        <v>540000</v>
      </c>
      <c r="G20" s="24">
        <f>+Datos!C29</f>
        <v>136</v>
      </c>
      <c r="H20" s="24">
        <f>G20*F20/1000</f>
        <v>73440</v>
      </c>
      <c r="I20" s="24">
        <f>+H20/$H$6</f>
        <v>100.60273972602739</v>
      </c>
      <c r="J20" s="24">
        <f>I20/2</f>
        <v>50.301369863013697</v>
      </c>
    </row>
    <row r="21" spans="1:10" x14ac:dyDescent="0.2">
      <c r="A21" s="18"/>
      <c r="C21" s="14"/>
    </row>
    <row r="22" spans="1:10" x14ac:dyDescent="0.2">
      <c r="A22" s="18"/>
      <c r="C22" s="14" t="s">
        <v>52</v>
      </c>
    </row>
    <row r="23" spans="1:10" x14ac:dyDescent="0.2">
      <c r="A23" s="18" t="s">
        <v>53</v>
      </c>
      <c r="D23" s="52" t="s">
        <v>54</v>
      </c>
      <c r="E23" s="47"/>
      <c r="F23" s="47"/>
      <c r="G23" s="47"/>
      <c r="H23" s="47"/>
      <c r="I23" s="47"/>
      <c r="J23" s="47"/>
    </row>
  </sheetData>
  <mergeCells count="2">
    <mergeCell ref="G8:J8"/>
    <mergeCell ref="D23:J2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2023-02-14T18:07:32Z</dcterms:modified>
</cp:coreProperties>
</file>