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3F0922CB-CBC0-472B-A894-62226577C8CB}" xr6:coauthVersionLast="47" xr6:coauthVersionMax="47" xr10:uidLastSave="{00000000-0000-0000-0000-000000000000}"/>
  <bookViews>
    <workbookView xWindow="10140" yWindow="0" windowWidth="10455" windowHeight="10905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6" i="1" l="1"/>
  <c r="C7" i="3"/>
  <c r="B5" i="3"/>
  <c r="D2" i="1"/>
  <c r="D9" i="1" l="1"/>
  <c r="D15" i="1" l="1"/>
  <c r="D14" i="1" l="1"/>
  <c r="G11" i="2"/>
  <c r="C21" i="3"/>
  <c r="D12" i="1"/>
  <c r="D11" i="1" l="1"/>
  <c r="D10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l="1"/>
  <c r="D17" i="1" s="1"/>
  <c r="D20" i="1" l="1"/>
</calcChain>
</file>

<file path=xl/sharedStrings.xml><?xml version="1.0" encoding="utf-8"?>
<sst xmlns="http://schemas.openxmlformats.org/spreadsheetml/2006/main" count="156" uniqueCount="120">
  <si>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</si>
  <si>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</si>
  <si>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</si>
  <si>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</si>
  <si>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</si>
  <si>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</si>
  <si>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</si>
  <si>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</si>
  <si>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</si>
  <si>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</si>
  <si>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</si>
  <si>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</si>
  <si>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</si>
  <si>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</si>
  <si>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</si>
  <si>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</si>
  <si>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</si>
  <si>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</si>
  <si>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</si>
  <si>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</si>
  <si>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</si>
  <si>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</si>
  <si>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</si>
  <si>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</si>
  <si>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</si>
  <si>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</si>
  <si>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</si>
  <si>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</si>
  <si>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</si>
  <si>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</si>
  <si>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</si>
  <si>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</si>
  <si>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</si>
  <si>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</si>
  <si>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</si>
  <si>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</si>
  <si>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</si>
  <si>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</si>
  <si>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</si>
  <si>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</si>
  <si>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</si>
  <si>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</si>
  <si>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</si>
  <si>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</si>
  <si>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</si>
  <si>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</si>
  <si>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</si>
  <si>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</si>
  <si>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</si>
  <si>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</si>
  <si>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</si>
  <si>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</si>
  <si>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</si>
  <si>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</si>
  <si>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</si>
  <si>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</si>
  <si>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</si>
  <si>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</si>
  <si>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</si>
  <si>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</si>
  <si>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</si>
  <si>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</si>
  <si>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</si>
  <si>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</si>
  <si>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</si>
  <si>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</si>
  <si>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</si>
  <si>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</si>
  <si>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</si>
  <si>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</si>
  <si>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</si>
  <si>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</si>
  <si>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</si>
  <si>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</si>
  <si>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</si>
  <si>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</si>
  <si>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</si>
  <si>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</si>
  <si>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</si>
  <si>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</si>
  <si>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</si>
  <si>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</si>
  <si>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</si>
  <si>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</si>
  <si>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</si>
  <si>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</si>
  <si>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</si>
  <si>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</si>
  <si>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</si>
  <si>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</si>
  <si>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</si>
  <si>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</si>
  <si>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</si>
  <si>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</si>
  <si>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</si>
  <si>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</si>
  <si>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</si>
  <si>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</si>
  <si>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</si>
  <si>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</si>
  <si>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</si>
  <si>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</si>
  <si>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</si>
  <si>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</si>
  <si>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</si>
  <si>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</si>
  <si>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MELAR</t>
  </si>
  <si>
    <t>PEÑON-TAPI</t>
  </si>
  <si>
    <t>PEÑON-ASG</t>
  </si>
  <si>
    <t>Fasonado</t>
  </si>
  <si>
    <t>Servicios e Indirectos</t>
  </si>
  <si>
    <t>*% inflación indec</t>
  </si>
  <si>
    <t>IGB014</t>
  </si>
  <si>
    <t>Fecha Actual</t>
  </si>
  <si>
    <t>PEÑON-MULTICAJAS SA desde 13-11-2023</t>
  </si>
  <si>
    <t>* Febrero Dto 12% respecto a Enero - baja costos / resignación de margen fasonado</t>
  </si>
  <si>
    <t>* 05-01</t>
  </si>
  <si>
    <t>* 09-01</t>
  </si>
  <si>
    <t>*05-03</t>
  </si>
  <si>
    <t>*Abril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</si>
</sst>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9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0" fontId="15" fillId="2" borderId="0" xfId="0" applyFont="1" applyFill="1"/>
    <xf numFmtId="43" fontId="27" fillId="3" borderId="5" xfId="1" applyFont="1" applyFill="1" applyBorder="1" applyAlignment="1"/>
    <xf numFmtId="43" fontId="27" fillId="0" borderId="5" xfId="1" applyFont="1" applyFill="1" applyBorder="1" applyAlignment="1"/>
    <xf numFmtId="43" fontId="5" fillId="0" borderId="0" xfId="0" applyNumberFormat="1" applyFont="1"/>
    <xf numFmtId="10" fontId="28" fillId="0" borderId="0" xfId="0" applyNumberFormat="1" applyFont="1"/>
    <xf numFmtId="168" fontId="28" fillId="0" borderId="0" xfId="1" applyNumberFormat="1" applyFont="1" applyFill="1" applyAlignment="1"/>
    <xf numFmtId="14" fontId="15" fillId="0" borderId="0" xfId="0" applyNumberFormat="1" applyFont="1"/>
    <xf numFmtId="16" fontId="0" fillId="0" borderId="0" xfId="0" applyNumberForma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4"/>
  <sheetViews>
    <sheetView topLeftCell="A17" workbookViewId="0">
      <selection activeCell="C26" sqref="C26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113</v>
      </c>
    </row>
    <row r="2" spans="1:6" ht="15" x14ac:dyDescent="0.25">
      <c r="A2" s="39" t="s">
        <v>72</v>
      </c>
      <c r="C2" s="42">
        <v>45420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f>+C2</f>
        <v>45420</v>
      </c>
      <c r="C5" s="45">
        <v>899.5</v>
      </c>
      <c r="D5" s="39"/>
    </row>
    <row r="6" spans="1:6" x14ac:dyDescent="0.2">
      <c r="A6" s="52" t="s">
        <v>59</v>
      </c>
      <c r="B6" s="52" t="s">
        <v>41</v>
      </c>
      <c r="C6" s="54">
        <v>8931.92</v>
      </c>
      <c r="D6" s="61" t="s">
        <v>103</v>
      </c>
      <c r="E6" s="52"/>
      <c r="F6" s="69">
        <v>45390</v>
      </c>
    </row>
    <row r="7" spans="1:6" x14ac:dyDescent="0.2">
      <c r="A7" s="52" t="s">
        <v>112</v>
      </c>
      <c r="B7" s="52" t="s">
        <v>99</v>
      </c>
      <c r="C7" s="54">
        <f>53.5</f>
        <v>53.5</v>
      </c>
      <c r="D7" s="61"/>
      <c r="E7" s="52" t="s">
        <v>105</v>
      </c>
      <c r="F7" s="52" t="s">
        <v>116</v>
      </c>
    </row>
    <row r="8" spans="1:6" x14ac:dyDescent="0.2">
      <c r="A8" s="52" t="s">
        <v>60</v>
      </c>
      <c r="B8" s="52" t="s">
        <v>42</v>
      </c>
      <c r="C8" s="54">
        <v>1711.15</v>
      </c>
      <c r="D8" s="61"/>
      <c r="E8" s="52" t="s">
        <v>106</v>
      </c>
      <c r="F8" s="52" t="s">
        <v>117</v>
      </c>
    </row>
    <row r="9" spans="1:6" x14ac:dyDescent="0.2">
      <c r="A9" s="52" t="s">
        <v>61</v>
      </c>
      <c r="B9" s="52" t="s">
        <v>43</v>
      </c>
      <c r="C9" s="54">
        <v>38796</v>
      </c>
      <c r="D9" s="61"/>
      <c r="E9" s="52" t="s">
        <v>106</v>
      </c>
      <c r="F9" s="52" t="s">
        <v>117</v>
      </c>
    </row>
    <row r="10" spans="1:6" x14ac:dyDescent="0.2">
      <c r="A10" s="52" t="s">
        <v>62</v>
      </c>
      <c r="B10" s="52" t="s">
        <v>44</v>
      </c>
      <c r="C10" s="54">
        <v>35104.199999999997</v>
      </c>
      <c r="D10" s="61"/>
      <c r="E10" s="52" t="s">
        <v>106</v>
      </c>
      <c r="F10" s="52" t="s">
        <v>117</v>
      </c>
    </row>
    <row r="11" spans="1:6" x14ac:dyDescent="0.2">
      <c r="A11" s="52" t="s">
        <v>63</v>
      </c>
      <c r="B11" s="52" t="s">
        <v>45</v>
      </c>
      <c r="C11" s="54">
        <v>6904.4</v>
      </c>
      <c r="D11" s="61"/>
      <c r="E11" s="52" t="s">
        <v>106</v>
      </c>
      <c r="F11" s="52" t="s">
        <v>118</v>
      </c>
    </row>
    <row r="12" spans="1:6" x14ac:dyDescent="0.2">
      <c r="A12" s="52" t="s">
        <v>64</v>
      </c>
      <c r="B12" s="52" t="s">
        <v>46</v>
      </c>
      <c r="C12" s="54">
        <v>16404.02</v>
      </c>
      <c r="D12" s="61" t="s">
        <v>103</v>
      </c>
      <c r="E12" s="52"/>
      <c r="F12" s="70">
        <v>45390</v>
      </c>
    </row>
    <row r="13" spans="1:6" x14ac:dyDescent="0.2">
      <c r="A13" s="52" t="s">
        <v>65</v>
      </c>
      <c r="B13" s="52" t="s">
        <v>47</v>
      </c>
      <c r="C13" s="54">
        <v>80.5</v>
      </c>
      <c r="D13" s="61"/>
      <c r="E13" s="52"/>
      <c r="F13" s="52"/>
    </row>
    <row r="14" spans="1:6" x14ac:dyDescent="0.2">
      <c r="A14" s="52" t="s">
        <v>66</v>
      </c>
      <c r="B14" s="52" t="s">
        <v>48</v>
      </c>
      <c r="C14" s="54">
        <v>235</v>
      </c>
      <c r="D14" s="61"/>
      <c r="E14" s="52"/>
      <c r="F14" s="52"/>
    </row>
    <row r="15" spans="1:6" x14ac:dyDescent="0.2">
      <c r="A15" s="52" t="s">
        <v>67</v>
      </c>
      <c r="B15" s="52" t="s">
        <v>50</v>
      </c>
      <c r="C15" s="62">
        <v>760</v>
      </c>
      <c r="D15" s="61"/>
      <c r="E15" s="52"/>
      <c r="F15" s="52"/>
    </row>
    <row r="16" spans="1:6" x14ac:dyDescent="0.2">
      <c r="A16" s="52" t="s">
        <v>80</v>
      </c>
      <c r="B16" s="52" t="s">
        <v>4</v>
      </c>
      <c r="C16" s="54">
        <v>2.7</v>
      </c>
      <c r="D16" s="52"/>
      <c r="E16" s="52"/>
      <c r="F16" s="52"/>
    </row>
    <row r="17" spans="1:10" x14ac:dyDescent="0.2">
      <c r="A17" s="52" t="s">
        <v>89</v>
      </c>
      <c r="B17" s="52" t="s">
        <v>81</v>
      </c>
      <c r="C17" s="54">
        <v>3450</v>
      </c>
      <c r="D17" s="52" t="s">
        <v>88</v>
      </c>
      <c r="E17" s="52"/>
      <c r="F17" s="52"/>
    </row>
    <row r="18" spans="1:10" x14ac:dyDescent="0.2">
      <c r="A18" s="52" t="s">
        <v>84</v>
      </c>
      <c r="B18" s="52" t="s">
        <v>82</v>
      </c>
      <c r="C18" s="54">
        <v>495</v>
      </c>
      <c r="D18" s="52" t="s">
        <v>86</v>
      </c>
      <c r="E18" s="52"/>
      <c r="F18" s="52"/>
    </row>
    <row r="19" spans="1:10" x14ac:dyDescent="0.2">
      <c r="A19" s="52" t="s">
        <v>90</v>
      </c>
      <c r="B19" s="52" t="s">
        <v>85</v>
      </c>
      <c r="C19" s="54">
        <v>3918.37</v>
      </c>
      <c r="D19" s="52" t="s">
        <v>87</v>
      </c>
      <c r="E19" s="52"/>
      <c r="F19" s="52"/>
    </row>
    <row r="20" spans="1:10" s="46" customFormat="1" ht="15" x14ac:dyDescent="0.25">
      <c r="A20" s="52" t="s">
        <v>91</v>
      </c>
      <c r="B20" s="52" t="s">
        <v>93</v>
      </c>
      <c r="C20" s="54">
        <v>14.35</v>
      </c>
      <c r="D20" s="52" t="s">
        <v>94</v>
      </c>
      <c r="E20" s="52"/>
      <c r="F20" s="52"/>
    </row>
    <row r="21" spans="1:10" s="39" customFormat="1" ht="15" x14ac:dyDescent="0.25">
      <c r="A21" s="52"/>
      <c r="B21" s="52" t="s">
        <v>83</v>
      </c>
      <c r="C21" s="54">
        <f>+(C17/980)+((C18*4)/980)+((C19/4)/980)+(C20/4)</f>
        <v>10.127900510204082</v>
      </c>
      <c r="D21" s="52"/>
      <c r="E21" s="52"/>
      <c r="F21" s="52"/>
    </row>
    <row r="22" spans="1:10" x14ac:dyDescent="0.2">
      <c r="A22" s="63" t="s">
        <v>68</v>
      </c>
      <c r="B22" s="63" t="s">
        <v>6</v>
      </c>
      <c r="C22" s="54">
        <v>0.39500000000000002</v>
      </c>
      <c r="D22" s="52" t="s">
        <v>98</v>
      </c>
      <c r="E22" s="52" t="s">
        <v>107</v>
      </c>
      <c r="F22" s="52"/>
    </row>
    <row r="23" spans="1:10" x14ac:dyDescent="0.2">
      <c r="A23" s="63" t="s">
        <v>101</v>
      </c>
      <c r="B23" s="63" t="s">
        <v>7</v>
      </c>
      <c r="C23" s="54">
        <v>22.25</v>
      </c>
      <c r="D23" s="52"/>
      <c r="E23" s="52" t="s">
        <v>108</v>
      </c>
      <c r="F23" s="52"/>
    </row>
    <row r="24" spans="1:10" x14ac:dyDescent="0.2">
      <c r="A24" s="52" t="s">
        <v>56</v>
      </c>
      <c r="B24" s="52" t="s">
        <v>8</v>
      </c>
      <c r="C24" s="54">
        <v>351.05</v>
      </c>
      <c r="D24" s="52" t="s">
        <v>104</v>
      </c>
      <c r="E24" s="52"/>
      <c r="F24" s="52"/>
    </row>
    <row r="25" spans="1:10" x14ac:dyDescent="0.2">
      <c r="A25" s="63" t="s">
        <v>76</v>
      </c>
      <c r="B25" s="63" t="s">
        <v>78</v>
      </c>
      <c r="C25" s="62">
        <v>499</v>
      </c>
      <c r="D25" s="52" t="s">
        <v>92</v>
      </c>
      <c r="E25" s="52" t="s">
        <v>114</v>
      </c>
      <c r="F25" s="52"/>
      <c r="J25" s="64">
        <v>98.93</v>
      </c>
    </row>
    <row r="26" spans="1:10" s="52" customFormat="1" x14ac:dyDescent="0.2">
      <c r="A26" s="63" t="s">
        <v>77</v>
      </c>
      <c r="B26" s="63" t="s">
        <v>79</v>
      </c>
      <c r="C26" s="54">
        <v>98.93</v>
      </c>
      <c r="D26" s="52" t="s">
        <v>95</v>
      </c>
      <c r="E26" s="52" t="s">
        <v>114</v>
      </c>
      <c r="J26" s="65">
        <v>20.37</v>
      </c>
    </row>
    <row r="27" spans="1:10" ht="15" x14ac:dyDescent="0.25">
      <c r="A27" s="39" t="s">
        <v>74</v>
      </c>
      <c r="C27" s="67">
        <v>0.09</v>
      </c>
      <c r="D27" s="33" t="s">
        <v>98</v>
      </c>
    </row>
    <row r="28" spans="1:10" ht="15" x14ac:dyDescent="0.25">
      <c r="A28" s="39" t="s">
        <v>75</v>
      </c>
      <c r="C28" s="68">
        <v>1</v>
      </c>
      <c r="D28" s="33" t="s">
        <v>119</v>
      </c>
    </row>
    <row r="30" spans="1:10" x14ac:dyDescent="0.2">
      <c r="A30" t="s">
        <v>110</v>
      </c>
      <c r="C30">
        <v>135</v>
      </c>
    </row>
    <row r="31" spans="1:10" x14ac:dyDescent="0.2">
      <c r="A31" t="s">
        <v>109</v>
      </c>
      <c r="C31">
        <v>250</v>
      </c>
    </row>
    <row r="34" spans="1:1" x14ac:dyDescent="0.2">
      <c r="A34" t="s">
        <v>115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F8" workbookViewId="0">
      <selection activeCell="J20" sqref="J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5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71"/>
      <c r="H8" s="72"/>
      <c r="I8" s="72"/>
      <c r="J8" s="73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8931.92</v>
      </c>
      <c r="H10" s="27">
        <f>G10*F10/$H$6</f>
        <v>117965.58041095891</v>
      </c>
      <c r="I10" s="27">
        <f t="shared" ref="I10:I18" si="1">+H10/$H$6</f>
        <v>161.59668549446425</v>
      </c>
      <c r="J10" s="27">
        <f t="shared" ref="J10:J18" si="2">I10/2</f>
        <v>80.798342747232127</v>
      </c>
    </row>
    <row r="11" spans="1:13" ht="15.75" x14ac:dyDescent="0.25">
      <c r="A11" s="18"/>
      <c r="B11" s="14"/>
      <c r="C11" s="14"/>
      <c r="D11" s="56" t="s">
        <v>100</v>
      </c>
      <c r="E11" s="57" t="s">
        <v>99</v>
      </c>
      <c r="F11" s="26">
        <f t="shared" si="0"/>
        <v>9641.25</v>
      </c>
      <c r="G11" s="27">
        <f>+DATOS!C7*DATOS!$C$5</f>
        <v>48123.25</v>
      </c>
      <c r="H11" s="27">
        <f t="shared" ref="H11:H20" si="3">G11*F11/$H$6</f>
        <v>635572.9918664383</v>
      </c>
      <c r="I11" s="27">
        <f t="shared" si="1"/>
        <v>870.64793406361412</v>
      </c>
      <c r="J11" s="27">
        <f t="shared" si="2"/>
        <v>435.32396703180706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1711.15</v>
      </c>
      <c r="H12" s="27">
        <f t="shared" si="3"/>
        <v>9042.138527397261</v>
      </c>
      <c r="I12" s="27">
        <f t="shared" si="1"/>
        <v>12.386491133420906</v>
      </c>
      <c r="J12" s="27">
        <f t="shared" si="2"/>
        <v>6.1932455667104529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38796</v>
      </c>
      <c r="H13" s="27">
        <f t="shared" si="3"/>
        <v>3268.4301369863015</v>
      </c>
      <c r="I13" s="27">
        <f t="shared" si="1"/>
        <v>4.4773015575154815</v>
      </c>
      <c r="J13" s="27">
        <f t="shared" si="2"/>
        <v>2.2386507787577408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35104.199999999997</v>
      </c>
      <c r="H14" s="27">
        <f t="shared" si="3"/>
        <v>1983.6277397260271</v>
      </c>
      <c r="I14" s="27">
        <f t="shared" si="1"/>
        <v>2.7172982735972973</v>
      </c>
      <c r="J14" s="27">
        <f t="shared" si="2"/>
        <v>1.3586491367986486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6904.4</v>
      </c>
      <c r="H15" s="27">
        <f t="shared" si="3"/>
        <v>8512.2739726027394</v>
      </c>
      <c r="I15" s="27">
        <f t="shared" si="1"/>
        <v>11.660649277537999</v>
      </c>
      <c r="J15" s="27">
        <f t="shared" si="2"/>
        <v>5.8303246387689995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16404.02</v>
      </c>
      <c r="H16" s="27">
        <f t="shared" si="3"/>
        <v>11555.845595890411</v>
      </c>
      <c r="I16" s="27">
        <f t="shared" si="1"/>
        <v>15.829925473822481</v>
      </c>
      <c r="J16" s="27">
        <f t="shared" si="2"/>
        <v>7.9149627369112405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72409.75</v>
      </c>
      <c r="H17" s="27">
        <f t="shared" si="3"/>
        <v>5163.9062808219178</v>
      </c>
      <c r="I17" s="27">
        <f t="shared" si="1"/>
        <v>7.0738442203039966</v>
      </c>
      <c r="J17" s="27">
        <f t="shared" si="2"/>
        <v>3.5369221101519983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211382.5</v>
      </c>
      <c r="H18" s="27">
        <f t="shared" si="3"/>
        <v>6109.8229452054793</v>
      </c>
      <c r="I18" s="27">
        <f t="shared" si="1"/>
        <v>8.3696204728842183</v>
      </c>
      <c r="J18" s="27">
        <f t="shared" si="2"/>
        <v>4.1848102364421091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799174.61747602734</v>
      </c>
      <c r="I19" s="29">
        <f t="shared" si="4"/>
        <v>1094.7597499671604</v>
      </c>
      <c r="J19" s="29">
        <f t="shared" si="4"/>
        <v>547.37987498358018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760</v>
      </c>
      <c r="H20" s="31">
        <f t="shared" si="3"/>
        <v>562191.78082191781</v>
      </c>
      <c r="I20" s="31">
        <f>+H20/$H$6</f>
        <v>770.12572715331203</v>
      </c>
      <c r="J20" s="31">
        <f>I20/2</f>
        <v>385.06286357665601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4" t="s">
        <v>53</v>
      </c>
      <c r="E23" s="75"/>
      <c r="F23" s="75"/>
      <c r="G23" s="75"/>
      <c r="H23" s="75"/>
      <c r="I23" s="75"/>
      <c r="J23" s="75"/>
      <c r="K23" s="75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1" workbookViewId="0">
      <selection activeCell="E18" sqref="E18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45391</v>
      </c>
      <c r="D2" s="38">
        <f>+DATOS!C2</f>
        <v>45420</v>
      </c>
    </row>
    <row r="3" spans="1:13" x14ac:dyDescent="0.25">
      <c r="A3" s="2" t="s">
        <v>54</v>
      </c>
      <c r="B3" s="2"/>
      <c r="C3" s="47">
        <v>924.65490767498591</v>
      </c>
      <c r="D3" s="47">
        <f>D4+D5</f>
        <v>932.44273856023619</v>
      </c>
      <c r="E3" s="8"/>
      <c r="L3" s="3"/>
      <c r="M3" s="4"/>
    </row>
    <row r="4" spans="1:13" x14ac:dyDescent="0.25">
      <c r="A4" s="5"/>
      <c r="B4" s="6" t="s">
        <v>1</v>
      </c>
      <c r="C4" s="49">
        <v>385.06286357665601</v>
      </c>
      <c r="D4" s="48">
        <f>Insumos!J20</f>
        <v>385.06286357665601</v>
      </c>
      <c r="E4" s="8"/>
      <c r="L4" s="3"/>
      <c r="M4" s="4"/>
    </row>
    <row r="5" spans="1:13" x14ac:dyDescent="0.25">
      <c r="A5" s="6"/>
      <c r="B5" s="6" t="s">
        <v>2</v>
      </c>
      <c r="C5" s="49">
        <v>539.59204409832989</v>
      </c>
      <c r="D5" s="49">
        <f>+Insumos!J19</f>
        <v>547.37987498358018</v>
      </c>
      <c r="E5" s="8"/>
      <c r="L5" s="3"/>
      <c r="M5" s="4"/>
    </row>
    <row r="6" spans="1:13" x14ac:dyDescent="0.25">
      <c r="A6" s="2" t="s">
        <v>3</v>
      </c>
      <c r="B6" s="2"/>
      <c r="C6" s="47">
        <v>870.63693112244903</v>
      </c>
      <c r="D6" s="47">
        <f>D7+D8+D9+D10+D11+D12</f>
        <v>890.91290051020405</v>
      </c>
      <c r="E6" s="66"/>
      <c r="L6" s="3"/>
      <c r="M6" s="4"/>
    </row>
    <row r="7" spans="1:13" x14ac:dyDescent="0.25">
      <c r="A7" s="6" t="s">
        <v>80</v>
      </c>
      <c r="B7" s="6" t="s">
        <v>4</v>
      </c>
      <c r="C7" s="49">
        <v>2.7</v>
      </c>
      <c r="D7" s="48">
        <f>+DATOS!C16</f>
        <v>2.7</v>
      </c>
      <c r="E7" s="8"/>
      <c r="L7" s="3"/>
      <c r="M7" s="4"/>
    </row>
    <row r="8" spans="1:13" x14ac:dyDescent="0.25">
      <c r="A8" s="6"/>
      <c r="B8" s="6" t="s">
        <v>5</v>
      </c>
      <c r="C8" s="49">
        <v>9.6544311224489796</v>
      </c>
      <c r="D8" s="48">
        <f>+DATOS!C21</f>
        <v>10.127900510204082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348.98250000000002</v>
      </c>
      <c r="D9" s="48">
        <f>+DATOS!C22*DATOS!C5</f>
        <v>355.30250000000001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22.25</v>
      </c>
      <c r="D10" s="48">
        <f>+DATOS!C23</f>
        <v>22.25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351.05</v>
      </c>
      <c r="D11" s="48">
        <f>+DATOS!C24</f>
        <v>351.05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136</v>
      </c>
      <c r="D12" s="48">
        <f>+(DATOS!C25+DATOS!C26)/4</f>
        <v>149.48250000000002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359.05836775948706</v>
      </c>
      <c r="D13" s="47">
        <f>+(D3+D6)*$B$13</f>
        <v>364.67112781408809</v>
      </c>
      <c r="G13" s="44"/>
      <c r="L13" s="37"/>
      <c r="M13" s="40"/>
    </row>
    <row r="14" spans="1:13" x14ac:dyDescent="0.25">
      <c r="A14" s="2" t="s">
        <v>10</v>
      </c>
      <c r="B14" s="7"/>
      <c r="C14" s="50">
        <v>625.10279399413753</v>
      </c>
      <c r="D14" s="50">
        <f>D15+D16</f>
        <v>653.86985795360999</v>
      </c>
      <c r="L14" s="3"/>
      <c r="M14" s="4"/>
    </row>
    <row r="15" spans="1:13" x14ac:dyDescent="0.25">
      <c r="A15" s="6"/>
      <c r="B15" s="6" t="s">
        <v>11</v>
      </c>
      <c r="C15" s="49">
        <v>319.63404399413758</v>
      </c>
      <c r="D15" s="60">
        <f>+C15+C15*DATOS!C27</f>
        <v>348.40110795360999</v>
      </c>
      <c r="E15" s="8" t="s">
        <v>111</v>
      </c>
      <c r="G15" s="43"/>
      <c r="L15" s="3"/>
      <c r="M15" s="4"/>
    </row>
    <row r="16" spans="1:13" x14ac:dyDescent="0.25">
      <c r="A16" s="6"/>
      <c r="B16" s="6" t="s">
        <v>12</v>
      </c>
      <c r="C16" s="49">
        <v>305.46875</v>
      </c>
      <c r="D16" s="48">
        <f>+C16*DATOS!C28</f>
        <v>305.46875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59">
        <v>2779.4530005510596</v>
      </c>
      <c r="D17" s="47">
        <f>+D3+D6+D13+D14</f>
        <v>2841.896624838138</v>
      </c>
      <c r="E17" s="58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11367.586499352552</v>
      </c>
      <c r="L20" s="3"/>
      <c r="M20" s="4"/>
    </row>
    <row r="21" spans="1:13" x14ac:dyDescent="0.25">
      <c r="D21" s="34"/>
    </row>
    <row r="22" spans="1:13" ht="15" customHeight="1" x14ac:dyDescent="0.25">
      <c r="A22" s="77" t="s">
        <v>14</v>
      </c>
      <c r="B22" s="75"/>
      <c r="C22" s="75"/>
      <c r="D22" s="35"/>
      <c r="E22" s="9"/>
      <c r="F22" s="9"/>
      <c r="G22" s="9"/>
    </row>
    <row r="23" spans="1:13" ht="15" customHeight="1" x14ac:dyDescent="0.25">
      <c r="A23" s="76" t="s">
        <v>15</v>
      </c>
      <c r="B23" s="75"/>
      <c r="C23" s="75"/>
      <c r="D23" s="10"/>
      <c r="E23" s="10"/>
      <c r="F23" s="10"/>
      <c r="G23" s="10"/>
    </row>
    <row r="24" spans="1:13" ht="15" customHeight="1" x14ac:dyDescent="0.25">
      <c r="A24" s="76" t="s">
        <v>16</v>
      </c>
      <c r="B24" s="75"/>
      <c r="C24" s="75"/>
      <c r="D24" s="10"/>
      <c r="E24" s="10"/>
      <c r="F24" s="10"/>
      <c r="G24" s="10"/>
    </row>
    <row r="25" spans="1:13" ht="30.75" customHeight="1" x14ac:dyDescent="0.25">
      <c r="A25" s="76" t="s">
        <v>17</v>
      </c>
      <c r="B25" s="75"/>
      <c r="C25" s="75"/>
      <c r="D25" s="10"/>
      <c r="E25" s="10"/>
      <c r="F25" s="10"/>
      <c r="G25" s="10"/>
    </row>
    <row r="26" spans="1:13" ht="15" customHeight="1" x14ac:dyDescent="0.25">
      <c r="A26" s="76" t="s">
        <v>18</v>
      </c>
      <c r="B26" s="75"/>
      <c r="C26" s="75"/>
      <c r="D26" s="10"/>
      <c r="E26" s="10"/>
      <c r="F26" s="10"/>
      <c r="G26" s="10"/>
    </row>
    <row r="27" spans="1:13" ht="15" customHeight="1" x14ac:dyDescent="0.25">
      <c r="A27" s="76" t="s">
        <v>19</v>
      </c>
      <c r="B27" s="75"/>
      <c r="C27" s="75"/>
      <c r="D27" s="10"/>
      <c r="E27" s="10"/>
      <c r="F27" s="10"/>
      <c r="G27" s="10"/>
    </row>
    <row r="28" spans="1:13" ht="15" customHeight="1" x14ac:dyDescent="0.25">
      <c r="A28" s="76" t="s">
        <v>20</v>
      </c>
      <c r="B28" s="75"/>
      <c r="C28" s="75"/>
      <c r="D28" s="10"/>
      <c r="E28" s="10"/>
      <c r="F28" s="10"/>
      <c r="G28" s="10"/>
    </row>
    <row r="29" spans="1:13" ht="15" customHeight="1" x14ac:dyDescent="0.25">
      <c r="A29" s="76" t="s">
        <v>21</v>
      </c>
      <c r="B29" s="75"/>
      <c r="C29" s="75"/>
      <c r="D29" s="10"/>
      <c r="E29" s="10"/>
      <c r="F29" s="10"/>
      <c r="G29" s="10"/>
    </row>
    <row r="30" spans="1:13" ht="16.5" customHeight="1" x14ac:dyDescent="0.25">
      <c r="A30" s="76" t="s">
        <v>22</v>
      </c>
      <c r="B30" s="75"/>
      <c r="C30" s="75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2024-05-08T12:30:06Z</dcterms:modified>
</cp:coreProperties>
</file>