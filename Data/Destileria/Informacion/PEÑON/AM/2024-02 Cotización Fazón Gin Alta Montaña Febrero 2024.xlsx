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82D6A89E-67F9-4BA0-B3B9-CAE957FA28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C7" i="3"/>
  <c r="B5" i="3"/>
  <c r="D2" i="1"/>
  <c r="D9" i="1" l="1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l="1"/>
  <c r="D17" i="1" s="1"/>
  <c r="D20" i="1" l="1"/>
</calcChain>
</file>

<file path=xl/sharedStrings.xml><?xml version="1.0" encoding="utf-8"?>
<sst xmlns="http://schemas.openxmlformats.org/spreadsheetml/2006/main" count="156" uniqueCount="121">
  <si>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</si>
  <si>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</si>
  <si>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</si>
  <si>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</si>
  <si>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</si>
  <si>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</si>
  <si>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</si>
  <si>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</si>
  <si>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</si>
  <si>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</si>
  <si>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</si>
  <si>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</si>
  <si>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</si>
  <si>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</si>
  <si>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</si>
  <si>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</si>
  <si>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</si>
  <si>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</si>
  <si>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</si>
  <si>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</si>
  <si>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</si>
  <si>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</si>
  <si>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</si>
  <si>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</si>
  <si>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</si>
  <si>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</si>
  <si>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</si>
  <si>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</si>
  <si>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</si>
  <si>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</si>
  <si>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</si>
  <si>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</si>
  <si>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</si>
  <si>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</si>
  <si>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</si>
  <si>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</si>
  <si>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</si>
  <si>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</si>
  <si>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</si>
  <si>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</si>
  <si>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</si>
  <si>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</si>
  <si>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</si>
  <si>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</si>
  <si>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</si>
  <si>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</si>
  <si>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</si>
  <si>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</si>
  <si>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</si>
  <si>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</si>
  <si>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</si>
  <si>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</si>
  <si>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</si>
  <si>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</si>
  <si>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</si>
  <si>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</si>
  <si>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</si>
  <si>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</si>
  <si>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</si>
  <si>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</si>
  <si>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</si>
  <si>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</si>
  <si>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</si>
  <si>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</si>
  <si>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</si>
  <si>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</si>
  <si>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</si>
  <si>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</si>
  <si>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</si>
  <si>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</si>
  <si>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</si>
  <si>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</si>
  <si>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</si>
  <si>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</si>
  <si>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</si>
  <si>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</si>
  <si>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</si>
  <si>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</si>
  <si>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</si>
  <si>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</si>
  <si>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</si>
  <si>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</si>
  <si>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</si>
  <si>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</si>
  <si>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</si>
  <si>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</si>
  <si>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</si>
  <si>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</si>
  <si>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</si>
  <si>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</si>
  <si>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</si>
  <si>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</si>
  <si>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</si>
  <si>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</si>
  <si>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</si>
  <si>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</si>
  <si>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</si>
  <si>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</si>
  <si>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</si>
  <si>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</si>
  <si>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</si>
  <si>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</si>
  <si>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</si>
  <si>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</si>
  <si>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</si>
  <si>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</si>
  <si>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</si>
  <si>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</si>
  <si>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</si>
  <si>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</si>
  <si>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</si>
  <si>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</si>
  <si>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</si>
  <si>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</si>
  <si>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* 09-10</t>
  </si>
  <si>
    <t>* 10-10</t>
  </si>
  <si>
    <t>PEÑON-MULTICAJAS SA desde 13-11-2023</t>
  </si>
  <si>
    <t>* 02-11</t>
  </si>
  <si>
    <t>* 24-10</t>
  </si>
  <si>
    <t>* Aumentos Abril 2023 y Julio 2023 - Octubre 2023 estimado a revisar-Dic estimado revisar</t>
  </si>
  <si>
    <t>* Febrero Dto 12% respecto a Enero - baja costos / resignación de margen fasonado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</si>
</sst>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5" fillId="0" borderId="0" xfId="0" applyNumberFormat="1" applyFont="1"/>
    <xf numFmtId="10" fontId="28" fillId="0" borderId="0" xfId="0" applyNumberFormat="1" applyFont="1"/>
    <xf numFmtId="168" fontId="28" fillId="0" borderId="0" xfId="1" applyNumberFormat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4"/>
  <sheetViews>
    <sheetView tabSelected="1" workbookViewId="0">
      <selection activeCell="F33" sqref="F33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113</v>
      </c>
    </row>
    <row r="2" spans="1:6" ht="15" x14ac:dyDescent="0.25">
      <c r="A2" s="39" t="s">
        <v>72</v>
      </c>
      <c r="C2" s="42">
        <v>45330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45330</v>
      </c>
      <c r="C5" s="45">
        <v>849.5</v>
      </c>
      <c r="D5" s="39"/>
    </row>
    <row r="6" spans="1:6" x14ac:dyDescent="0.2">
      <c r="A6" s="52" t="s">
        <v>59</v>
      </c>
      <c r="B6" s="52" t="s">
        <v>41</v>
      </c>
      <c r="C6" s="54">
        <v>8688.81</v>
      </c>
      <c r="D6" s="61" t="s">
        <v>103</v>
      </c>
      <c r="E6" s="52"/>
      <c r="F6" s="52"/>
    </row>
    <row r="7" spans="1:6" x14ac:dyDescent="0.2">
      <c r="A7" s="52" t="s">
        <v>112</v>
      </c>
      <c r="B7" s="52" t="s">
        <v>99</v>
      </c>
      <c r="C7" s="54">
        <f>53.5</f>
        <v>53.5</v>
      </c>
      <c r="D7" s="61"/>
      <c r="E7" s="52" t="s">
        <v>105</v>
      </c>
      <c r="F7" s="52" t="s">
        <v>117</v>
      </c>
    </row>
    <row r="8" spans="1:6" x14ac:dyDescent="0.2">
      <c r="A8" s="52" t="s">
        <v>60</v>
      </c>
      <c r="B8" s="52" t="s">
        <v>42</v>
      </c>
      <c r="C8" s="54">
        <v>1711.15</v>
      </c>
      <c r="D8" s="61"/>
      <c r="E8" s="52" t="s">
        <v>106</v>
      </c>
      <c r="F8" s="52" t="s">
        <v>114</v>
      </c>
    </row>
    <row r="9" spans="1:6" x14ac:dyDescent="0.2">
      <c r="A9" s="52" t="s">
        <v>61</v>
      </c>
      <c r="B9" s="52" t="s">
        <v>43</v>
      </c>
      <c r="C9" s="54">
        <v>38796</v>
      </c>
      <c r="D9" s="61"/>
      <c r="E9" s="52" t="s">
        <v>106</v>
      </c>
      <c r="F9" s="52" t="s">
        <v>114</v>
      </c>
    </row>
    <row r="10" spans="1:6" x14ac:dyDescent="0.2">
      <c r="A10" s="52" t="s">
        <v>62</v>
      </c>
      <c r="B10" s="52" t="s">
        <v>44</v>
      </c>
      <c r="C10" s="54">
        <v>35104.199999999997</v>
      </c>
      <c r="D10" s="61"/>
      <c r="E10" s="52" t="s">
        <v>106</v>
      </c>
      <c r="F10" s="52" t="s">
        <v>118</v>
      </c>
    </row>
    <row r="11" spans="1:6" x14ac:dyDescent="0.2">
      <c r="A11" s="52" t="s">
        <v>63</v>
      </c>
      <c r="B11" s="52" t="s">
        <v>45</v>
      </c>
      <c r="C11" s="54">
        <v>6904.4</v>
      </c>
      <c r="D11" s="61"/>
      <c r="E11" s="52" t="s">
        <v>106</v>
      </c>
      <c r="F11" s="52" t="s">
        <v>115</v>
      </c>
    </row>
    <row r="12" spans="1:6" x14ac:dyDescent="0.2">
      <c r="A12" s="52" t="s">
        <v>64</v>
      </c>
      <c r="B12" s="52" t="s">
        <v>46</v>
      </c>
      <c r="C12" s="54">
        <v>16596.59</v>
      </c>
      <c r="D12" s="61" t="s">
        <v>103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v>80.5</v>
      </c>
      <c r="D13" s="61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1"/>
      <c r="E14" s="52"/>
      <c r="F14" s="52"/>
    </row>
    <row r="15" spans="1:6" x14ac:dyDescent="0.2">
      <c r="A15" s="52" t="s">
        <v>67</v>
      </c>
      <c r="B15" s="52" t="s">
        <v>50</v>
      </c>
      <c r="C15" s="62">
        <v>700</v>
      </c>
      <c r="D15" s="61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3010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250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8.6789209183673481</v>
      </c>
      <c r="D21" s="52"/>
      <c r="E21" s="52"/>
      <c r="F21" s="52"/>
    </row>
    <row r="22" spans="1:10" x14ac:dyDescent="0.2">
      <c r="A22" s="63" t="s">
        <v>68</v>
      </c>
      <c r="B22" s="63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3" t="s">
        <v>101</v>
      </c>
      <c r="B23" s="63" t="s">
        <v>7</v>
      </c>
      <c r="C23" s="54">
        <v>22.25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224.21</v>
      </c>
      <c r="D24" s="52" t="s">
        <v>104</v>
      </c>
      <c r="E24" s="52"/>
      <c r="F24" s="52"/>
    </row>
    <row r="25" spans="1:10" x14ac:dyDescent="0.2">
      <c r="A25" s="63" t="s">
        <v>76</v>
      </c>
      <c r="B25" s="63" t="s">
        <v>78</v>
      </c>
      <c r="C25" s="62">
        <v>255</v>
      </c>
      <c r="D25" s="52" t="s">
        <v>92</v>
      </c>
      <c r="E25" s="52" t="s">
        <v>116</v>
      </c>
      <c r="F25" s="52"/>
      <c r="J25" s="64">
        <v>98.93</v>
      </c>
    </row>
    <row r="26" spans="1:10" s="52" customFormat="1" x14ac:dyDescent="0.2">
      <c r="A26" s="63" t="s">
        <v>77</v>
      </c>
      <c r="B26" s="63" t="s">
        <v>79</v>
      </c>
      <c r="C26" s="54">
        <v>42.5</v>
      </c>
      <c r="D26" s="52" t="s">
        <v>95</v>
      </c>
      <c r="E26" s="52" t="s">
        <v>116</v>
      </c>
      <c r="J26" s="65">
        <v>20.37</v>
      </c>
    </row>
    <row r="27" spans="1:10" ht="15" x14ac:dyDescent="0.25">
      <c r="A27" s="39" t="s">
        <v>74</v>
      </c>
      <c r="C27" s="67">
        <v>0</v>
      </c>
      <c r="D27" s="33" t="s">
        <v>98</v>
      </c>
    </row>
    <row r="28" spans="1:10" ht="15" x14ac:dyDescent="0.25">
      <c r="A28" s="39" t="s">
        <v>75</v>
      </c>
      <c r="C28" s="68">
        <v>1</v>
      </c>
      <c r="D28" s="33" t="s">
        <v>119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  <row r="34" spans="1:1" x14ac:dyDescent="0.2">
      <c r="A34" t="s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F8" workbookViewId="0">
      <selection activeCell="J20" sqref="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5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9"/>
      <c r="H8" s="70"/>
      <c r="I8" s="70"/>
      <c r="J8" s="71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8688.81</v>
      </c>
      <c r="H10" s="27">
        <f>G10*F10/$H$6</f>
        <v>114754.78001712328</v>
      </c>
      <c r="I10" s="27">
        <f t="shared" ref="I10:I18" si="1">+H10/$H$6</f>
        <v>157.19832879057984</v>
      </c>
      <c r="J10" s="27">
        <f t="shared" ref="J10:J18" si="2">I10/2</f>
        <v>78.599164395289918</v>
      </c>
    </row>
    <row r="11" spans="1:13" ht="15.75" x14ac:dyDescent="0.25">
      <c r="A11" s="18"/>
      <c r="B11" s="14"/>
      <c r="C11" s="14"/>
      <c r="D11" s="56" t="s">
        <v>100</v>
      </c>
      <c r="E11" s="57" t="s">
        <v>99</v>
      </c>
      <c r="F11" s="26">
        <f t="shared" si="0"/>
        <v>9641.25</v>
      </c>
      <c r="G11" s="27">
        <f>+DATOS!C7*DATOS!$C$5</f>
        <v>45448.25</v>
      </c>
      <c r="H11" s="27">
        <f t="shared" ref="H11:H20" si="3">G11*F11/$H$6</f>
        <v>600243.7538527397</v>
      </c>
      <c r="I11" s="27">
        <f t="shared" si="1"/>
        <v>822.25171760649278</v>
      </c>
      <c r="J11" s="27">
        <f t="shared" si="2"/>
        <v>411.12585880324639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1711.15</v>
      </c>
      <c r="H12" s="27">
        <f t="shared" si="3"/>
        <v>9042.138527397261</v>
      </c>
      <c r="I12" s="27">
        <f t="shared" si="1"/>
        <v>12.386491133420906</v>
      </c>
      <c r="J12" s="27">
        <f t="shared" si="2"/>
        <v>6.1932455667104529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35104.199999999997</v>
      </c>
      <c r="H14" s="27">
        <f t="shared" si="3"/>
        <v>1983.6277397260271</v>
      </c>
      <c r="I14" s="27">
        <f t="shared" si="1"/>
        <v>2.7172982735972973</v>
      </c>
      <c r="J14" s="27">
        <f t="shared" si="2"/>
        <v>1.3586491367986486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6904.4</v>
      </c>
      <c r="H15" s="27">
        <f t="shared" si="3"/>
        <v>8512.2739726027394</v>
      </c>
      <c r="I15" s="27">
        <f t="shared" si="1"/>
        <v>11.660649277537999</v>
      </c>
      <c r="J15" s="27">
        <f t="shared" si="2"/>
        <v>5.8303246387689995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68384.75</v>
      </c>
      <c r="H17" s="27">
        <f t="shared" si="3"/>
        <v>4876.863130136986</v>
      </c>
      <c r="I17" s="27">
        <f t="shared" si="1"/>
        <v>6.6806344248451861</v>
      </c>
      <c r="J17" s="27">
        <f t="shared" si="2"/>
        <v>3.3403172124225931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199632.5</v>
      </c>
      <c r="H18" s="27">
        <f t="shared" si="3"/>
        <v>5770.1996575342464</v>
      </c>
      <c r="I18" s="27">
        <f t="shared" si="1"/>
        <v>7.9043830925126661</v>
      </c>
      <c r="J18" s="27">
        <f t="shared" si="2"/>
        <v>3.9521915462563331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760143.56896232883</v>
      </c>
      <c r="I19" s="29">
        <f t="shared" si="4"/>
        <v>1041.2925602223684</v>
      </c>
      <c r="J19" s="29">
        <f t="shared" si="4"/>
        <v>520.64628011118418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700</v>
      </c>
      <c r="H20" s="31">
        <f t="shared" si="3"/>
        <v>517808.21917808219</v>
      </c>
      <c r="I20" s="31">
        <f>+H20/$H$6</f>
        <v>709.32632764120842</v>
      </c>
      <c r="J20" s="31">
        <f>I20/2</f>
        <v>354.66316382060421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2" t="s">
        <v>53</v>
      </c>
      <c r="E23" s="73"/>
      <c r="F23" s="73"/>
      <c r="G23" s="73"/>
      <c r="H23" s="73"/>
      <c r="I23" s="73"/>
      <c r="J23" s="73"/>
      <c r="K23" s="7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opLeftCell="C1" workbookViewId="0">
      <selection activeCell="K12" sqref="K1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45300</v>
      </c>
      <c r="D2" s="38">
        <f>+DATOS!C2</f>
        <v>45330</v>
      </c>
    </row>
    <row r="3" spans="1:13" x14ac:dyDescent="0.25">
      <c r="A3" s="2" t="s">
        <v>54</v>
      </c>
      <c r="B3" s="2"/>
      <c r="C3" s="47">
        <v>955.33473447469032</v>
      </c>
      <c r="D3" s="47">
        <f>D4+D5</f>
        <v>875.30944393178834</v>
      </c>
      <c r="E3" s="8"/>
      <c r="L3" s="3"/>
      <c r="M3" s="4"/>
    </row>
    <row r="4" spans="1:13" x14ac:dyDescent="0.25">
      <c r="A4" s="5"/>
      <c r="B4" s="6" t="s">
        <v>1</v>
      </c>
      <c r="C4" s="49">
        <v>390.12948020266469</v>
      </c>
      <c r="D4" s="48">
        <f>Insumos!J20</f>
        <v>354.66316382060421</v>
      </c>
      <c r="E4" s="8"/>
      <c r="L4" s="3"/>
      <c r="M4" s="4"/>
    </row>
    <row r="5" spans="1:13" x14ac:dyDescent="0.25">
      <c r="A5" s="6"/>
      <c r="B5" s="6" t="s">
        <v>2</v>
      </c>
      <c r="C5" s="49">
        <v>565.20525427202563</v>
      </c>
      <c r="D5" s="49">
        <f>+Insumos!J19</f>
        <v>520.64628011118418</v>
      </c>
      <c r="E5" s="8"/>
      <c r="L5" s="3"/>
      <c r="M5" s="4"/>
    </row>
    <row r="6" spans="1:13" x14ac:dyDescent="0.25">
      <c r="A6" s="2" t="s">
        <v>3</v>
      </c>
      <c r="B6" s="2"/>
      <c r="C6" s="47">
        <v>661.44642091836738</v>
      </c>
      <c r="D6" s="47">
        <f>D7+D8+D9+D10+D11+D12</f>
        <v>667.76642091836732</v>
      </c>
      <c r="E6" s="66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8.6789209183673481</v>
      </c>
      <c r="D8" s="48">
        <f>+DATOS!C21</f>
        <v>8.6789209183673481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329.23250000000002</v>
      </c>
      <c r="D9" s="48">
        <f>+DATOS!C22*DATOS!C5</f>
        <v>335.55250000000001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224.21</v>
      </c>
      <c r="D11" s="48">
        <f>+DATOS!C24</f>
        <v>224.21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74.375</v>
      </c>
      <c r="D12" s="48">
        <f>+(DATOS!C25+DATOS!C26)/4</f>
        <v>74.375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323.35623107861159</v>
      </c>
      <c r="D13" s="47">
        <f>+(D3+D6)*$B$13</f>
        <v>308.61517297003115</v>
      </c>
      <c r="G13" s="44"/>
      <c r="L13" s="37"/>
      <c r="M13" s="40"/>
    </row>
    <row r="14" spans="1:13" x14ac:dyDescent="0.25">
      <c r="A14" s="2" t="s">
        <v>10</v>
      </c>
      <c r="B14" s="7"/>
      <c r="C14" s="50">
        <v>797.98722967679998</v>
      </c>
      <c r="D14" s="50">
        <f>D15+D16</f>
        <v>547.98722967679998</v>
      </c>
      <c r="L14" s="3"/>
      <c r="M14" s="4"/>
    </row>
    <row r="15" spans="1:13" x14ac:dyDescent="0.25">
      <c r="A15" s="6"/>
      <c r="B15" s="6" t="s">
        <v>11</v>
      </c>
      <c r="C15" s="49">
        <v>282.36222967679998</v>
      </c>
      <c r="D15" s="60">
        <f>+C15+C15*DATOS!C27</f>
        <v>282.36222967679998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515.625</v>
      </c>
      <c r="D16" s="48">
        <f>+C16*DATOS!C28-250</f>
        <v>265.625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59">
        <v>2738.1246161484692</v>
      </c>
      <c r="D17" s="47">
        <f>+D3+D6+D13+D14</f>
        <v>2399.6782674969868</v>
      </c>
      <c r="E17" s="58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9598.7130699879472</v>
      </c>
      <c r="L20" s="3"/>
      <c r="M20" s="4"/>
    </row>
    <row r="21" spans="1:13" x14ac:dyDescent="0.25">
      <c r="D21" s="34"/>
    </row>
    <row r="22" spans="1:13" ht="15" customHeight="1" x14ac:dyDescent="0.25">
      <c r="A22" s="75" t="s">
        <v>14</v>
      </c>
      <c r="B22" s="73"/>
      <c r="C22" s="73"/>
      <c r="D22" s="35"/>
      <c r="E22" s="9"/>
      <c r="F22" s="9"/>
      <c r="G22" s="9"/>
    </row>
    <row r="23" spans="1:13" ht="15" customHeight="1" x14ac:dyDescent="0.25">
      <c r="A23" s="74" t="s">
        <v>15</v>
      </c>
      <c r="B23" s="73"/>
      <c r="C23" s="73"/>
      <c r="D23" s="10"/>
      <c r="E23" s="10"/>
      <c r="F23" s="10"/>
      <c r="G23" s="10"/>
    </row>
    <row r="24" spans="1:13" ht="15" customHeight="1" x14ac:dyDescent="0.25">
      <c r="A24" s="74" t="s">
        <v>16</v>
      </c>
      <c r="B24" s="73"/>
      <c r="C24" s="73"/>
      <c r="D24" s="10"/>
      <c r="E24" s="10"/>
      <c r="F24" s="10"/>
      <c r="G24" s="10"/>
    </row>
    <row r="25" spans="1:13" ht="30.75" customHeight="1" x14ac:dyDescent="0.25">
      <c r="A25" s="74" t="s">
        <v>17</v>
      </c>
      <c r="B25" s="73"/>
      <c r="C25" s="73"/>
      <c r="D25" s="10"/>
      <c r="E25" s="10"/>
      <c r="F25" s="10"/>
      <c r="G25" s="10"/>
    </row>
    <row r="26" spans="1:13" ht="15" customHeight="1" x14ac:dyDescent="0.25">
      <c r="A26" s="74" t="s">
        <v>18</v>
      </c>
      <c r="B26" s="73"/>
      <c r="C26" s="73"/>
      <c r="D26" s="10"/>
      <c r="E26" s="10"/>
      <c r="F26" s="10"/>
      <c r="G26" s="10"/>
    </row>
    <row r="27" spans="1:13" ht="15" customHeight="1" x14ac:dyDescent="0.25">
      <c r="A27" s="74" t="s">
        <v>19</v>
      </c>
      <c r="B27" s="73"/>
      <c r="C27" s="73"/>
      <c r="D27" s="10"/>
      <c r="E27" s="10"/>
      <c r="F27" s="10"/>
      <c r="G27" s="10"/>
    </row>
    <row r="28" spans="1:13" ht="15" customHeight="1" x14ac:dyDescent="0.25">
      <c r="A28" s="74" t="s">
        <v>20</v>
      </c>
      <c r="B28" s="73"/>
      <c r="C28" s="73"/>
      <c r="D28" s="10"/>
      <c r="E28" s="10"/>
      <c r="F28" s="10"/>
      <c r="G28" s="10"/>
    </row>
    <row r="29" spans="1:13" ht="15" customHeight="1" x14ac:dyDescent="0.25">
      <c r="A29" s="74" t="s">
        <v>21</v>
      </c>
      <c r="B29" s="73"/>
      <c r="C29" s="73"/>
      <c r="D29" s="10"/>
      <c r="E29" s="10"/>
      <c r="F29" s="10"/>
      <c r="G29" s="10"/>
    </row>
    <row r="30" spans="1:13" ht="16.5" customHeight="1" x14ac:dyDescent="0.25">
      <c r="A30" s="74" t="s">
        <v>22</v>
      </c>
      <c r="B30" s="73"/>
      <c r="C30" s="7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2024-02-08T19:20:59Z</dcterms:modified>
</cp:coreProperties>
</file>