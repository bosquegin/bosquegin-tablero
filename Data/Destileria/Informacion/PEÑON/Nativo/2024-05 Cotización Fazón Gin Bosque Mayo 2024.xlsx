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9125AB7F-5623-4552-894B-FCC9F334C902}" xr6:coauthVersionLast="47" xr6:coauthVersionMax="47" xr10:uidLastSave="{00000000-0000-0000-0000-000000000000}"/>
  <bookViews>
    <workbookView xWindow="-105" yWindow="0" windowWidth="10455" windowHeight="10905" activeTab="2" xr2:uid="{00000000-000D-0000-FFFF-FFFF00000000}"/>
  </bookViews>
  <sheets>
    <sheet name="Datos" sheetId="3" r:id="rId1"/>
    <sheet name="Insumos" sheetId="2" r:id="rId2"/>
    <sheet name="Costeo" sheetId="1" r:id="rId3"/>
    <sheet name="Insumos CMQ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9" i="4" l="1"/>
  <c r="D11" i="4"/>
  <c r="D10" i="4"/>
  <c r="D7" i="4"/>
  <c r="D6" i="4"/>
  <c r="D3" i="4"/>
  <c r="D16" i="1"/>
  <c r="B4" i="3" l="1"/>
  <c r="C6" i="3" l="1"/>
  <c r="H6" i="3" l="1"/>
  <c r="G11" i="2"/>
  <c r="H11" i="2" s="1"/>
  <c r="D10" i="1" l="1"/>
  <c r="D2" i="1" l="1"/>
  <c r="D9" i="1" l="1"/>
  <c r="D15" i="1"/>
  <c r="D12" i="1" l="1"/>
  <c r="C20" i="3"/>
  <c r="D14" i="1" l="1"/>
  <c r="D11" i="1" l="1"/>
  <c r="D7" i="1"/>
  <c r="D8" i="1"/>
  <c r="G20" i="2"/>
  <c r="H20" i="2" s="1"/>
  <c r="D6" i="1" l="1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s="1"/>
</calcChain>
</file>

<file path=xl/sharedStrings.xml><?xml version="1.0" encoding="utf-8"?>
<sst xmlns="http://schemas.openxmlformats.org/spreadsheetml/2006/main" count="184" uniqueCount="141">
  <si>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</si>
  <si>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</si>
  <si>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</si>
  <si>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</si>
  <si>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</si>
  <si>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</si>
  <si>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</si>
  <si>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</si>
  <si>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</si>
  <si>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</si>
  <si>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</si>
  <si>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</si>
  <si>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</si>
  <si>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</si>
  <si>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</si>
  <si>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</si>
  <si>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</si>
  <si>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</si>
  <si>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</si>
  <si>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</si>
  <si>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</si>
  <si>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</si>
  <si>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</si>
  <si>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</si>
  <si>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</si>
  <si>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</si>
  <si>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</si>
  <si>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</si>
  <si>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</si>
  <si>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</si>
  <si>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</si>
  <si>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</si>
  <si>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</si>
  <si>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</si>
  <si>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</si>
  <si>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</si>
  <si>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</si>
  <si>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</si>
  <si>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</si>
  <si>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</si>
  <si>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</si>
  <si>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</si>
  <si>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</si>
  <si>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</si>
  <si>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</si>
  <si>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</si>
  <si>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</si>
  <si>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</si>
  <si>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</si>
  <si>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</si>
  <si>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</si>
  <si>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</si>
  <si>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</si>
  <si>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</si>
  <si>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</si>
  <si>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</si>
  <si>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</si>
  <si>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</si>
  <si>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</si>
  <si>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</si>
  <si>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</si>
  <si>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</si>
  <si>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</si>
  <si>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</si>
  <si>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</si>
  <si>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</si>
  <si>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</si>
  <si>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</si>
  <si>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</si>
  <si>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</si>
  <si>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</si>
  <si>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</si>
  <si>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</si>
  <si>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</si>
  <si>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</si>
  <si>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</si>
  <si>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</si>
  <si>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</si>
  <si>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</si>
  <si>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</si>
  <si>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</si>
  <si>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</si>
  <si>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</si>
  <si>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</si>
  <si>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</si>
  <si>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</si>
  <si>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</si>
  <si>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</si>
  <si>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</si>
  <si>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</si>
  <si>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</si>
  <si>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</si>
  <si>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</si>
  <si>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</si>
  <si>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</si>
  <si>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</si>
  <si>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</si>
  <si>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</si>
  <si>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</si>
  <si>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</si>
  <si>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</si>
  <si>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</si>
  <si>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</si>
  <si>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</si>
  <si>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</si>
  <si>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https://www.bna.com.ar/Personas</t>
  </si>
  <si>
    <t>GARNIL</t>
  </si>
  <si>
    <t>MELAR</t>
  </si>
  <si>
    <t>Fasonado</t>
  </si>
  <si>
    <t>Servicios e Indirectos</t>
  </si>
  <si>
    <t>IGB014</t>
  </si>
  <si>
    <t>PEÑON-TAPI desde 10-2023</t>
  </si>
  <si>
    <t>* estimado a revisar</t>
  </si>
  <si>
    <t>PEÑON-MULTICAJAS SA desde 13-11-2023</t>
  </si>
  <si>
    <t>* 05-01</t>
  </si>
  <si>
    <t>* 09-01</t>
  </si>
  <si>
    <t>* Febrero Dto 12% respecto a Enero - baja costos / resignación de margen fasonado</t>
  </si>
  <si>
    <t>*05-03</t>
  </si>
  <si>
    <t>Descripción</t>
  </si>
  <si>
    <t>ENVASE BOTELLA AGROPECUARIA AMBAR 500ML</t>
  </si>
  <si>
    <t>Caja Gin Bosque 500CC x4</t>
  </si>
  <si>
    <t>SEPARADORES CAJA GIN BOSQUE X4</t>
  </si>
  <si>
    <t>FLOR DE AZHAR</t>
  </si>
  <si>
    <t>ENEBRO PRIMERA</t>
  </si>
  <si>
    <t>CAJA GIN ALTA MONTANA 500CC X4</t>
  </si>
  <si>
    <t>ETIQUETAS GIN ALTA MONTAÑA</t>
  </si>
  <si>
    <t>ETIQUETA GIN BOSQUE 500CC NUEVO EAN</t>
  </si>
  <si>
    <t>ETIQUETA GIN ALTA MONTANA X500 B4</t>
  </si>
  <si>
    <t>Cotiz CMQ</t>
  </si>
  <si>
    <t>Cotiz Peñon</t>
  </si>
  <si>
    <t>Proveedor</t>
  </si>
  <si>
    <t>CMQ</t>
  </si>
  <si>
    <t>MULTICAJAS S.A</t>
  </si>
  <si>
    <t>Fecha Cotiz</t>
  </si>
  <si>
    <t>ARTES GRAFICAS</t>
  </si>
  <si>
    <t>* Verificar error en precio insumo #6</t>
  </si>
  <si>
    <t>* Proveedor recomendado por CMQ - MULTICAJAS SA - No es conveniente en precio, incumple fechas de entrega. Ver posibilidad de que se pueda volver a comprar directo a CMQ.</t>
  </si>
  <si>
    <t>#</t>
  </si>
  <si>
    <t>* Proveedor etiquetas mayor precio.</t>
  </si>
  <si>
    <t>compra 01-2024</t>
  </si>
  <si>
    <t>*Abril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</si>
</sst>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  <numFmt numFmtId="171" formatCode="_-* #,##0.0000_-;\-* #,##0.0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6" fontId="0" fillId="0" borderId="0" xfId="0" applyNumberFormat="1"/>
    <xf numFmtId="43" fontId="2" fillId="0" borderId="0" xfId="2" applyNumberFormat="1" applyFont="1"/>
    <xf numFmtId="43" fontId="0" fillId="0" borderId="0" xfId="1" applyFont="1"/>
    <xf numFmtId="43" fontId="22" fillId="0" borderId="0" xfId="1" applyFont="1"/>
    <xf numFmtId="43" fontId="20" fillId="0" borderId="0" xfId="1" applyFont="1"/>
    <xf numFmtId="43" fontId="5" fillId="0" borderId="0" xfId="0" applyNumberFormat="1" applyFont="1"/>
    <xf numFmtId="14" fontId="19" fillId="0" borderId="0" xfId="0" applyNumberFormat="1" applyFont="1"/>
    <xf numFmtId="0" fontId="20" fillId="0" borderId="5" xfId="0" applyFont="1" applyBorder="1"/>
    <xf numFmtId="17" fontId="20" fillId="0" borderId="5" xfId="0" applyNumberFormat="1" applyFont="1" applyBorder="1"/>
    <xf numFmtId="0" fontId="0" fillId="0" borderId="5" xfId="0" applyBorder="1"/>
    <xf numFmtId="43" fontId="0" fillId="0" borderId="5" xfId="1" applyFont="1" applyBorder="1"/>
    <xf numFmtId="0" fontId="19" fillId="0" borderId="5" xfId="0" applyFont="1" applyBorder="1"/>
    <xf numFmtId="14" fontId="0" fillId="0" borderId="5" xfId="0" applyNumberFormat="1" applyBorder="1"/>
    <xf numFmtId="43" fontId="23" fillId="0" borderId="5" xfId="1" applyFont="1" applyBorder="1"/>
    <xf numFmtId="14" fontId="19" fillId="0" borderId="5" xfId="0" applyNumberFormat="1" applyFont="1" applyBorder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71" fontId="0" fillId="3" borderId="0" xfId="1" applyNumberFormat="1" applyFont="1" applyFill="1"/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2"/>
  <sheetViews>
    <sheetView topLeftCell="A19" workbookViewId="0">
      <selection activeCell="D35" sqref="D35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10" x14ac:dyDescent="0.2">
      <c r="C1" t="s">
        <v>75</v>
      </c>
    </row>
    <row r="2" spans="1:10" ht="15" x14ac:dyDescent="0.25">
      <c r="A2" s="38" t="s">
        <v>74</v>
      </c>
      <c r="C2" s="61">
        <v>45420</v>
      </c>
      <c r="D2" s="61"/>
    </row>
    <row r="4" spans="1:10" ht="15" x14ac:dyDescent="0.25">
      <c r="A4" s="38" t="s">
        <v>76</v>
      </c>
      <c r="B4" s="46">
        <f>+C2</f>
        <v>45420</v>
      </c>
      <c r="C4" s="60">
        <v>899.5</v>
      </c>
      <c r="D4" s="38" t="s">
        <v>102</v>
      </c>
      <c r="E4" s="56" t="s">
        <v>105</v>
      </c>
      <c r="I4" s="57"/>
    </row>
    <row r="5" spans="1:10" x14ac:dyDescent="0.2">
      <c r="A5" t="s">
        <v>61</v>
      </c>
      <c r="B5" s="33" t="s">
        <v>103</v>
      </c>
      <c r="C5" s="59">
        <v>8931.92</v>
      </c>
      <c r="D5" s="48" t="s">
        <v>104</v>
      </c>
      <c r="E5" s="57"/>
      <c r="F5" s="65" t="s">
        <v>139</v>
      </c>
    </row>
    <row r="6" spans="1:10" x14ac:dyDescent="0.2">
      <c r="A6" s="33" t="s">
        <v>110</v>
      </c>
      <c r="B6" s="33" t="s">
        <v>100</v>
      </c>
      <c r="C6" s="60">
        <f>53.5</f>
        <v>53.5</v>
      </c>
      <c r="D6" s="40"/>
      <c r="E6" s="47" t="s">
        <v>106</v>
      </c>
      <c r="F6" s="47" t="s">
        <v>114</v>
      </c>
      <c r="H6" s="58">
        <f>+C6*C4</f>
        <v>48123.25</v>
      </c>
      <c r="I6" s="58"/>
      <c r="J6" s="58"/>
    </row>
    <row r="7" spans="1:10" x14ac:dyDescent="0.2">
      <c r="A7" t="s">
        <v>62</v>
      </c>
      <c r="B7" t="s">
        <v>44</v>
      </c>
      <c r="C7" s="59">
        <v>1711.15</v>
      </c>
      <c r="D7" s="40"/>
      <c r="E7" s="47" t="s">
        <v>107</v>
      </c>
      <c r="F7" s="47" t="s">
        <v>115</v>
      </c>
    </row>
    <row r="8" spans="1:10" x14ac:dyDescent="0.2">
      <c r="A8" t="s">
        <v>63</v>
      </c>
      <c r="B8" t="s">
        <v>45</v>
      </c>
      <c r="C8" s="59">
        <v>38796</v>
      </c>
      <c r="D8" s="40"/>
      <c r="E8" s="47" t="s">
        <v>107</v>
      </c>
      <c r="F8" s="47" t="s">
        <v>115</v>
      </c>
    </row>
    <row r="9" spans="1:10" x14ac:dyDescent="0.2">
      <c r="A9" t="s">
        <v>64</v>
      </c>
      <c r="B9" t="s">
        <v>46</v>
      </c>
      <c r="C9" s="59">
        <v>35104.199999999997</v>
      </c>
      <c r="D9" s="40"/>
      <c r="E9" s="47" t="s">
        <v>107</v>
      </c>
      <c r="F9" s="47" t="s">
        <v>115</v>
      </c>
    </row>
    <row r="10" spans="1:10" x14ac:dyDescent="0.2">
      <c r="A10" t="s">
        <v>65</v>
      </c>
      <c r="B10" t="s">
        <v>47</v>
      </c>
      <c r="C10" s="59">
        <v>6904.4</v>
      </c>
      <c r="D10" s="40"/>
      <c r="E10" s="47" t="s">
        <v>107</v>
      </c>
      <c r="F10" s="47" t="s">
        <v>117</v>
      </c>
    </row>
    <row r="11" spans="1:10" x14ac:dyDescent="0.2">
      <c r="A11" t="s">
        <v>66</v>
      </c>
      <c r="B11" t="s">
        <v>48</v>
      </c>
      <c r="C11" s="59">
        <v>16404.02</v>
      </c>
      <c r="D11" s="48" t="s">
        <v>104</v>
      </c>
      <c r="E11" s="57"/>
      <c r="F11" s="65">
        <v>45390</v>
      </c>
    </row>
    <row r="12" spans="1:10" x14ac:dyDescent="0.2">
      <c r="A12" t="s">
        <v>67</v>
      </c>
      <c r="B12" t="s">
        <v>49</v>
      </c>
      <c r="C12" s="59">
        <v>80.5</v>
      </c>
      <c r="D12" s="40"/>
    </row>
    <row r="13" spans="1:10" x14ac:dyDescent="0.2">
      <c r="A13" t="s">
        <v>68</v>
      </c>
      <c r="B13" t="s">
        <v>50</v>
      </c>
      <c r="C13" s="59">
        <v>235</v>
      </c>
      <c r="D13" s="40"/>
    </row>
    <row r="14" spans="1:10" x14ac:dyDescent="0.2">
      <c r="A14" t="s">
        <v>69</v>
      </c>
      <c r="B14" t="s">
        <v>52</v>
      </c>
      <c r="C14" s="60">
        <v>760</v>
      </c>
      <c r="D14" s="48"/>
      <c r="E14" s="33"/>
    </row>
    <row r="15" spans="1:10" x14ac:dyDescent="0.2">
      <c r="A15" t="s">
        <v>83</v>
      </c>
      <c r="B15" t="s">
        <v>4</v>
      </c>
      <c r="C15" s="59">
        <v>2.7</v>
      </c>
    </row>
    <row r="16" spans="1:10" x14ac:dyDescent="0.2">
      <c r="A16" s="33" t="s">
        <v>92</v>
      </c>
      <c r="B16" t="s">
        <v>84</v>
      </c>
      <c r="C16" s="50">
        <v>3450</v>
      </c>
      <c r="D16" s="33" t="s">
        <v>91</v>
      </c>
    </row>
    <row r="17" spans="1:10" x14ac:dyDescent="0.2">
      <c r="A17" s="33" t="s">
        <v>87</v>
      </c>
      <c r="B17" t="s">
        <v>85</v>
      </c>
      <c r="C17" s="50">
        <v>495</v>
      </c>
      <c r="D17" s="33" t="s">
        <v>89</v>
      </c>
    </row>
    <row r="18" spans="1:10" x14ac:dyDescent="0.2">
      <c r="A18" s="33" t="s">
        <v>93</v>
      </c>
      <c r="B18" s="33" t="s">
        <v>88</v>
      </c>
      <c r="C18" s="59">
        <v>3918.37</v>
      </c>
      <c r="D18" s="33" t="s">
        <v>90</v>
      </c>
    </row>
    <row r="19" spans="1:10" s="41" customFormat="1" ht="15" x14ac:dyDescent="0.25">
      <c r="A19" s="47" t="s">
        <v>94</v>
      </c>
      <c r="B19" s="47" t="s">
        <v>96</v>
      </c>
      <c r="C19" s="60">
        <v>14.35</v>
      </c>
      <c r="D19" s="47" t="s">
        <v>97</v>
      </c>
      <c r="E19" s="47"/>
      <c r="F19" s="47"/>
    </row>
    <row r="20" spans="1:10" s="38" customFormat="1" ht="15" x14ac:dyDescent="0.25">
      <c r="A20" s="47"/>
      <c r="B20" s="47" t="s">
        <v>86</v>
      </c>
      <c r="C20" s="60">
        <f>+(C16/980)+((C17*4)/980)+((C18/4)/980)+(C19/4)</f>
        <v>10.127900510204082</v>
      </c>
      <c r="D20" s="47"/>
      <c r="E20" s="47"/>
      <c r="F20" s="47"/>
    </row>
    <row r="21" spans="1:10" x14ac:dyDescent="0.2">
      <c r="A21" s="63" t="s">
        <v>70</v>
      </c>
      <c r="B21" s="63" t="s">
        <v>6</v>
      </c>
      <c r="C21" s="60">
        <v>0.39500000000000002</v>
      </c>
      <c r="D21" s="47" t="s">
        <v>99</v>
      </c>
      <c r="E21" s="47" t="s">
        <v>111</v>
      </c>
      <c r="F21" s="47"/>
      <c r="G21" s="58"/>
    </row>
    <row r="22" spans="1:10" x14ac:dyDescent="0.2">
      <c r="A22" s="62" t="s">
        <v>60</v>
      </c>
      <c r="B22" s="62" t="s">
        <v>7</v>
      </c>
      <c r="C22" s="60">
        <v>0.20114000000000001</v>
      </c>
      <c r="E22" s="33"/>
      <c r="H22" s="58"/>
      <c r="I22" s="58"/>
    </row>
    <row r="23" spans="1:10" x14ac:dyDescent="0.2">
      <c r="A23" s="33" t="s">
        <v>58</v>
      </c>
      <c r="B23" t="s">
        <v>8</v>
      </c>
      <c r="C23" s="60">
        <v>351.05</v>
      </c>
      <c r="D23" s="33"/>
      <c r="E23" s="33" t="s">
        <v>104</v>
      </c>
      <c r="F23" s="71">
        <v>45418</v>
      </c>
    </row>
    <row r="24" spans="1:10" x14ac:dyDescent="0.2">
      <c r="A24" s="62" t="s">
        <v>79</v>
      </c>
      <c r="B24" s="62" t="s">
        <v>81</v>
      </c>
      <c r="C24" s="60">
        <v>499</v>
      </c>
      <c r="D24" s="33" t="s">
        <v>95</v>
      </c>
      <c r="E24" s="47" t="s">
        <v>113</v>
      </c>
      <c r="J24" s="64">
        <v>85.35</v>
      </c>
    </row>
    <row r="25" spans="1:10" s="47" customFormat="1" x14ac:dyDescent="0.2">
      <c r="A25" s="63" t="s">
        <v>80</v>
      </c>
      <c r="B25" s="63" t="s">
        <v>82</v>
      </c>
      <c r="C25" s="60">
        <v>98.93</v>
      </c>
      <c r="D25" s="47" t="s">
        <v>98</v>
      </c>
      <c r="E25" s="47" t="s">
        <v>113</v>
      </c>
      <c r="J25" s="64">
        <v>20.37</v>
      </c>
    </row>
    <row r="26" spans="1:10" ht="15" x14ac:dyDescent="0.25">
      <c r="A26" s="38" t="s">
        <v>77</v>
      </c>
      <c r="C26" s="51">
        <v>0.09</v>
      </c>
      <c r="D26" s="33" t="s">
        <v>112</v>
      </c>
    </row>
    <row r="27" spans="1:10" ht="15" x14ac:dyDescent="0.25">
      <c r="A27" s="38" t="s">
        <v>78</v>
      </c>
      <c r="C27" s="52">
        <v>1</v>
      </c>
      <c r="D27" s="33" t="s">
        <v>140</v>
      </c>
    </row>
    <row r="29" spans="1:10" x14ac:dyDescent="0.2">
      <c r="A29" t="s">
        <v>109</v>
      </c>
      <c r="C29">
        <v>135</v>
      </c>
    </row>
    <row r="30" spans="1:10" x14ac:dyDescent="0.2">
      <c r="A30" t="s">
        <v>108</v>
      </c>
      <c r="C30">
        <v>250</v>
      </c>
    </row>
    <row r="32" spans="1:10" x14ac:dyDescent="0.2">
      <c r="A32" t="s">
        <v>116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1" workbookViewId="0">
      <selection activeCell="G11" sqref="G11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4" t="s">
        <v>101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5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80">
        <v>44738</v>
      </c>
      <c r="H8" s="81"/>
      <c r="I8" s="81"/>
      <c r="J8" s="82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8931.92</v>
      </c>
      <c r="H10" s="27">
        <f>G10*F10/$H$6</f>
        <v>97857.81102272727</v>
      </c>
      <c r="I10" s="27">
        <f t="shared" ref="I10:I18" si="1">+H10/$H$6</f>
        <v>111.2020579803719</v>
      </c>
      <c r="J10" s="27">
        <f t="shared" ref="J10:J18" si="2">I10/2</f>
        <v>55.601028990185952</v>
      </c>
    </row>
    <row r="11" spans="1:13" ht="15.75" x14ac:dyDescent="0.25">
      <c r="A11" s="18"/>
      <c r="B11" s="14"/>
      <c r="C11" s="14"/>
      <c r="D11" s="14" t="s">
        <v>110</v>
      </c>
      <c r="E11" s="53" t="s">
        <v>100</v>
      </c>
      <c r="F11" s="26">
        <f t="shared" si="0"/>
        <v>9641.25</v>
      </c>
      <c r="G11" s="27">
        <f>+Datos!C6*Datos!$C$4</f>
        <v>48123.25</v>
      </c>
      <c r="H11" s="27">
        <f>G11*F11/$H$6</f>
        <v>527236.68643465906</v>
      </c>
      <c r="I11" s="27">
        <f t="shared" si="1"/>
        <v>599.13259822120347</v>
      </c>
      <c r="J11" s="27">
        <f t="shared" si="2"/>
        <v>299.56629911060173</v>
      </c>
    </row>
    <row r="12" spans="1:13" x14ac:dyDescent="0.2">
      <c r="A12" s="18"/>
      <c r="B12" s="14"/>
      <c r="C12" s="14"/>
      <c r="D12" s="14" t="s">
        <v>62</v>
      </c>
      <c r="E12" s="26" t="s">
        <v>44</v>
      </c>
      <c r="F12" s="26">
        <v>3857.5</v>
      </c>
      <c r="G12" s="27">
        <f>+Datos!C7</f>
        <v>1711.15</v>
      </c>
      <c r="H12" s="27">
        <f t="shared" ref="H12:H18" si="3">G12*F12/$H$6</f>
        <v>7500.8649147727274</v>
      </c>
      <c r="I12" s="27">
        <f t="shared" si="1"/>
        <v>8.5237101304235541</v>
      </c>
      <c r="J12" s="27">
        <f t="shared" si="2"/>
        <v>4.261855065211777</v>
      </c>
    </row>
    <row r="13" spans="1:13" x14ac:dyDescent="0.2">
      <c r="A13" s="18"/>
      <c r="B13" s="14"/>
      <c r="C13" s="14"/>
      <c r="D13" s="14" t="s">
        <v>63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64</v>
      </c>
      <c r="E14" s="26" t="s">
        <v>46</v>
      </c>
      <c r="F14" s="26">
        <v>41.25</v>
      </c>
      <c r="G14" s="27">
        <f>+Datos!C9</f>
        <v>35104.199999999997</v>
      </c>
      <c r="H14" s="27">
        <f t="shared" si="3"/>
        <v>1645.5093749999996</v>
      </c>
      <c r="I14" s="27">
        <f t="shared" si="1"/>
        <v>1.8698970170454541</v>
      </c>
      <c r="J14" s="27">
        <f t="shared" si="2"/>
        <v>0.93494850852272704</v>
      </c>
    </row>
    <row r="15" spans="1:13" x14ac:dyDescent="0.2">
      <c r="A15" s="18"/>
      <c r="B15" s="14"/>
      <c r="C15" s="14"/>
      <c r="D15" s="14" t="s">
        <v>65</v>
      </c>
      <c r="E15" s="26" t="s">
        <v>47</v>
      </c>
      <c r="F15" s="26">
        <v>900</v>
      </c>
      <c r="G15" s="27">
        <f>+Datos!C10</f>
        <v>6904.4</v>
      </c>
      <c r="H15" s="27">
        <f t="shared" si="3"/>
        <v>7061.318181818182</v>
      </c>
      <c r="I15" s="27">
        <f t="shared" si="1"/>
        <v>8.02422520661157</v>
      </c>
      <c r="J15" s="27">
        <f t="shared" si="2"/>
        <v>4.012112603305785</v>
      </c>
    </row>
    <row r="16" spans="1:13" x14ac:dyDescent="0.2">
      <c r="A16" s="18"/>
      <c r="B16" s="14"/>
      <c r="C16" s="14"/>
      <c r="D16" s="14" t="s">
        <v>66</v>
      </c>
      <c r="E16" s="26" t="s">
        <v>48</v>
      </c>
      <c r="F16" s="26">
        <v>514.25</v>
      </c>
      <c r="G16" s="27">
        <f>+Datos!C11</f>
        <v>16404.02</v>
      </c>
      <c r="H16" s="27">
        <f t="shared" si="3"/>
        <v>9586.0991875</v>
      </c>
      <c r="I16" s="27">
        <f t="shared" si="1"/>
        <v>10.89329453125</v>
      </c>
      <c r="J16" s="27">
        <f t="shared" si="2"/>
        <v>5.4466472656249998</v>
      </c>
    </row>
    <row r="17" spans="1:13" x14ac:dyDescent="0.2">
      <c r="A17" s="18"/>
      <c r="B17" s="14"/>
      <c r="C17" s="14"/>
      <c r="D17" s="14" t="s">
        <v>67</v>
      </c>
      <c r="E17" s="26" t="s">
        <v>49</v>
      </c>
      <c r="F17" s="26">
        <v>52.06</v>
      </c>
      <c r="G17" s="27">
        <f>+Datos!C12*Datos!$C$4</f>
        <v>72409.75</v>
      </c>
      <c r="H17" s="27">
        <f t="shared" si="3"/>
        <v>4283.6949829545456</v>
      </c>
      <c r="I17" s="27">
        <f t="shared" si="1"/>
        <v>4.8678352079028926</v>
      </c>
      <c r="J17" s="27">
        <f t="shared" si="2"/>
        <v>2.4339176039514463</v>
      </c>
    </row>
    <row r="18" spans="1:13" x14ac:dyDescent="0.2">
      <c r="A18" s="18"/>
      <c r="B18" s="14"/>
      <c r="C18" s="14"/>
      <c r="D18" s="14" t="s">
        <v>68</v>
      </c>
      <c r="E18" s="26" t="s">
        <v>50</v>
      </c>
      <c r="F18" s="26">
        <v>21.1</v>
      </c>
      <c r="G18" s="27">
        <f>+Datos!C13*Datos!$C$4</f>
        <v>211382.5</v>
      </c>
      <c r="H18" s="27">
        <f t="shared" si="3"/>
        <v>5068.3758522727276</v>
      </c>
      <c r="I18" s="27">
        <f t="shared" si="1"/>
        <v>5.7595180139462814</v>
      </c>
      <c r="J18" s="27">
        <f t="shared" si="2"/>
        <v>2.8797590069731407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662951.67131534091</v>
      </c>
      <c r="I19" s="29">
        <f t="shared" si="4"/>
        <v>753.35417194925105</v>
      </c>
      <c r="J19" s="29">
        <f t="shared" si="4"/>
        <v>376.67708597462553</v>
      </c>
    </row>
    <row r="20" spans="1:13" ht="18" x14ac:dyDescent="0.25">
      <c r="A20" s="18"/>
      <c r="B20" s="14"/>
      <c r="C20" s="30"/>
      <c r="D20" s="14" t="s">
        <v>69</v>
      </c>
      <c r="E20" s="28" t="s">
        <v>52</v>
      </c>
      <c r="F20" s="28">
        <v>540000</v>
      </c>
      <c r="G20" s="31">
        <f>+Datos!C14</f>
        <v>760</v>
      </c>
      <c r="H20" s="31">
        <f>G20*F20/$H$6</f>
        <v>466363.63636363635</v>
      </c>
      <c r="I20" s="31">
        <f>+H20/$H$6</f>
        <v>529.95867768595042</v>
      </c>
      <c r="J20" s="31">
        <f>I20/2</f>
        <v>264.97933884297521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83" t="s">
        <v>55</v>
      </c>
      <c r="E23" s="84"/>
      <c r="F23" s="84"/>
      <c r="G23" s="84"/>
      <c r="H23" s="84"/>
      <c r="I23" s="84"/>
      <c r="J23" s="84"/>
      <c r="K23" s="84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1" workbookViewId="0">
      <selection activeCell="E13" sqref="E13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37">
        <v>45391</v>
      </c>
      <c r="D2" s="37">
        <f>+Datos!C2</f>
        <v>45420</v>
      </c>
      <c r="G2" s="67"/>
    </row>
    <row r="3" spans="1:13" x14ac:dyDescent="0.25">
      <c r="A3" s="2" t="s">
        <v>56</v>
      </c>
      <c r="B3" s="2"/>
      <c r="C3" s="42">
        <v>636.29726610440343</v>
      </c>
      <c r="D3" s="42">
        <f>D4+D5</f>
        <v>641.65642481760074</v>
      </c>
      <c r="E3" s="8"/>
      <c r="G3" s="67"/>
      <c r="L3" s="3"/>
      <c r="M3" s="4"/>
    </row>
    <row r="4" spans="1:13" x14ac:dyDescent="0.25">
      <c r="A4" s="5"/>
      <c r="B4" s="6" t="s">
        <v>1</v>
      </c>
      <c r="C4" s="43">
        <v>264.97933884297521</v>
      </c>
      <c r="D4" s="43">
        <f>Insumos!J20</f>
        <v>264.97933884297521</v>
      </c>
      <c r="E4" s="8"/>
      <c r="G4" s="67"/>
      <c r="L4" s="3"/>
      <c r="M4" s="4"/>
    </row>
    <row r="5" spans="1:13" x14ac:dyDescent="0.25">
      <c r="A5" s="6"/>
      <c r="B5" s="6" t="s">
        <v>2</v>
      </c>
      <c r="C5" s="43">
        <v>371.31792726142822</v>
      </c>
      <c r="D5" s="44">
        <f>+Insumos!J19</f>
        <v>376.67708597462553</v>
      </c>
      <c r="E5" s="8"/>
      <c r="G5" s="67"/>
      <c r="L5" s="3"/>
      <c r="M5" s="4"/>
    </row>
    <row r="6" spans="1:13" x14ac:dyDescent="0.25">
      <c r="A6" s="2" t="s">
        <v>3</v>
      </c>
      <c r="B6" s="2"/>
      <c r="C6" s="42">
        <v>1026.094121122449</v>
      </c>
      <c r="D6" s="42">
        <f>D7+D8+D9+D10+D11+D12</f>
        <v>1049.5883305102041</v>
      </c>
      <c r="E6" s="70"/>
      <c r="G6" s="67"/>
      <c r="L6" s="3"/>
      <c r="M6" s="4"/>
    </row>
    <row r="7" spans="1:13" x14ac:dyDescent="0.25">
      <c r="A7" s="6" t="s">
        <v>83</v>
      </c>
      <c r="B7" s="6" t="s">
        <v>4</v>
      </c>
      <c r="C7" s="43">
        <v>2.7</v>
      </c>
      <c r="D7" s="43">
        <f>+Datos!C15</f>
        <v>2.7</v>
      </c>
      <c r="E7" s="8"/>
      <c r="G7" s="67"/>
      <c r="L7" s="3"/>
      <c r="M7" s="4"/>
    </row>
    <row r="8" spans="1:13" x14ac:dyDescent="0.25">
      <c r="A8" s="6"/>
      <c r="B8" s="6" t="s">
        <v>5</v>
      </c>
      <c r="C8" s="43">
        <v>9.6544311224489796</v>
      </c>
      <c r="D8" s="43">
        <f>+Datos!C20</f>
        <v>10.127900510204082</v>
      </c>
      <c r="E8" s="8"/>
      <c r="G8" s="67"/>
      <c r="L8" s="3"/>
      <c r="M8" s="4"/>
    </row>
    <row r="9" spans="1:13" x14ac:dyDescent="0.25">
      <c r="A9" s="6" t="s">
        <v>70</v>
      </c>
      <c r="B9" s="6" t="s">
        <v>6</v>
      </c>
      <c r="C9" s="43">
        <v>348.98250000000002</v>
      </c>
      <c r="D9" s="43">
        <f>+Datos!C21*Datos!C4</f>
        <v>355.30250000000001</v>
      </c>
      <c r="E9" s="33"/>
      <c r="G9" s="67"/>
      <c r="L9" s="3"/>
      <c r="M9" s="4"/>
    </row>
    <row r="10" spans="1:13" x14ac:dyDescent="0.25">
      <c r="A10" s="6" t="s">
        <v>60</v>
      </c>
      <c r="B10" s="6" t="s">
        <v>7</v>
      </c>
      <c r="C10" s="43">
        <v>177.70719000000003</v>
      </c>
      <c r="D10" s="43">
        <f>+Datos!C22*Datos!$C$4</f>
        <v>180.92543000000001</v>
      </c>
      <c r="E10" s="33"/>
      <c r="G10" s="67"/>
      <c r="L10" s="3"/>
      <c r="M10" s="4"/>
    </row>
    <row r="11" spans="1:13" x14ac:dyDescent="0.25">
      <c r="A11" s="6" t="s">
        <v>58</v>
      </c>
      <c r="B11" s="6" t="s">
        <v>8</v>
      </c>
      <c r="C11" s="43">
        <v>351.05</v>
      </c>
      <c r="D11" s="43">
        <f>+Datos!C23</f>
        <v>351.05</v>
      </c>
      <c r="E11" s="33"/>
      <c r="G11" s="67"/>
      <c r="L11" s="3"/>
      <c r="M11" s="4"/>
    </row>
    <row r="12" spans="1:13" x14ac:dyDescent="0.25">
      <c r="A12" s="6" t="s">
        <v>59</v>
      </c>
      <c r="B12" s="6" t="s">
        <v>9</v>
      </c>
      <c r="C12" s="43">
        <v>136</v>
      </c>
      <c r="D12" s="43">
        <f>+(Datos!C24+Datos!C25)/4</f>
        <v>149.48250000000002</v>
      </c>
      <c r="E12" s="33"/>
      <c r="G12" s="68"/>
      <c r="L12" s="3"/>
      <c r="M12" s="4"/>
    </row>
    <row r="13" spans="1:13" s="38" customFormat="1" x14ac:dyDescent="0.25">
      <c r="A13" s="2" t="s">
        <v>73</v>
      </c>
      <c r="B13" s="2">
        <v>0.2</v>
      </c>
      <c r="C13" s="42">
        <v>332.47827744537051</v>
      </c>
      <c r="D13" s="42">
        <f>+(D3+D6)*$B$13</f>
        <v>338.24895106556096</v>
      </c>
      <c r="G13" s="69"/>
      <c r="L13" s="36"/>
      <c r="M13" s="39"/>
    </row>
    <row r="14" spans="1:13" x14ac:dyDescent="0.25">
      <c r="A14" s="2" t="s">
        <v>10</v>
      </c>
      <c r="B14" s="7"/>
      <c r="C14" s="45">
        <v>625.10279399413753</v>
      </c>
      <c r="D14" s="45">
        <f>D15+D16</f>
        <v>653.86985795360999</v>
      </c>
      <c r="G14" s="67"/>
      <c r="L14" s="3"/>
      <c r="M14" s="4"/>
    </row>
    <row r="15" spans="1:13" x14ac:dyDescent="0.25">
      <c r="A15" s="6"/>
      <c r="B15" s="6" t="s">
        <v>11</v>
      </c>
      <c r="C15" s="43">
        <v>319.63404399413758</v>
      </c>
      <c r="D15" s="43">
        <f>+C15+C15*Datos!C26</f>
        <v>348.40110795360999</v>
      </c>
      <c r="E15" s="8"/>
      <c r="G15" s="67"/>
      <c r="L15" s="3"/>
      <c r="M15" s="4"/>
    </row>
    <row r="16" spans="1:13" x14ac:dyDescent="0.25">
      <c r="A16" s="6"/>
      <c r="B16" s="6" t="s">
        <v>12</v>
      </c>
      <c r="C16" s="43">
        <v>305.46875</v>
      </c>
      <c r="D16" s="43">
        <f>+C16*Datos!C27</f>
        <v>305.46875</v>
      </c>
      <c r="E16" s="8"/>
      <c r="G16" s="67"/>
      <c r="L16" s="3"/>
      <c r="M16" s="4"/>
    </row>
    <row r="17" spans="1:13" x14ac:dyDescent="0.25">
      <c r="A17" s="2"/>
      <c r="B17" s="2" t="s">
        <v>13</v>
      </c>
      <c r="C17" s="42">
        <v>2619.9724586663606</v>
      </c>
      <c r="D17" s="42">
        <f>+D3+D6+D13+D14</f>
        <v>2683.3635643469756</v>
      </c>
      <c r="E17" s="87"/>
      <c r="G17" s="67"/>
      <c r="L17" s="3"/>
      <c r="M17" s="4"/>
    </row>
    <row r="18" spans="1:13" x14ac:dyDescent="0.25">
      <c r="A18" s="35"/>
      <c r="B18" s="35"/>
      <c r="C18" s="36"/>
      <c r="D18" s="66"/>
      <c r="G18" s="67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72</v>
      </c>
      <c r="D20" s="36">
        <f>+D17*4</f>
        <v>10733.454257387903</v>
      </c>
      <c r="L20" s="3"/>
      <c r="M20" s="4"/>
    </row>
    <row r="21" spans="1:13" x14ac:dyDescent="0.25">
      <c r="D21" s="34"/>
    </row>
    <row r="22" spans="1:13" ht="15" customHeight="1" x14ac:dyDescent="0.25">
      <c r="A22" s="86" t="s">
        <v>14</v>
      </c>
      <c r="B22" s="84"/>
      <c r="C22" s="84"/>
      <c r="D22" s="49"/>
      <c r="E22" s="9"/>
      <c r="F22" s="9"/>
      <c r="G22" s="9"/>
    </row>
    <row r="23" spans="1:13" ht="15" customHeight="1" x14ac:dyDescent="0.25">
      <c r="A23" s="85" t="s">
        <v>15</v>
      </c>
      <c r="B23" s="84"/>
      <c r="C23" s="84"/>
      <c r="D23" s="10"/>
      <c r="E23" s="10"/>
      <c r="F23" s="10"/>
      <c r="G23" s="10"/>
    </row>
    <row r="24" spans="1:13" ht="15" customHeight="1" x14ac:dyDescent="0.25">
      <c r="A24" s="85" t="s">
        <v>16</v>
      </c>
      <c r="B24" s="84"/>
      <c r="C24" s="84"/>
      <c r="D24" s="10"/>
      <c r="E24" s="10"/>
      <c r="F24" s="10"/>
      <c r="G24" s="10"/>
    </row>
    <row r="25" spans="1:13" ht="30.75" customHeight="1" x14ac:dyDescent="0.25">
      <c r="A25" s="85" t="s">
        <v>17</v>
      </c>
      <c r="B25" s="84"/>
      <c r="C25" s="84"/>
      <c r="D25" s="10"/>
      <c r="E25" s="10"/>
      <c r="F25" s="10"/>
      <c r="G25" s="10"/>
    </row>
    <row r="26" spans="1:13" ht="15" customHeight="1" x14ac:dyDescent="0.25">
      <c r="A26" s="85" t="s">
        <v>18</v>
      </c>
      <c r="B26" s="84"/>
      <c r="C26" s="84"/>
      <c r="D26" s="10"/>
      <c r="E26" s="10"/>
      <c r="F26" s="10"/>
      <c r="G26" s="10"/>
    </row>
    <row r="27" spans="1:13" ht="15" customHeight="1" x14ac:dyDescent="0.25">
      <c r="A27" s="85" t="s">
        <v>19</v>
      </c>
      <c r="B27" s="84"/>
      <c r="C27" s="84"/>
      <c r="D27" s="10"/>
      <c r="E27" s="10"/>
      <c r="F27" s="10"/>
      <c r="G27" s="10"/>
    </row>
    <row r="28" spans="1:13" ht="15" customHeight="1" x14ac:dyDescent="0.25">
      <c r="A28" s="85" t="s">
        <v>20</v>
      </c>
      <c r="B28" s="84"/>
      <c r="C28" s="84"/>
      <c r="D28" s="10"/>
      <c r="E28" s="10"/>
      <c r="F28" s="10"/>
      <c r="G28" s="10"/>
    </row>
    <row r="29" spans="1:13" ht="15" customHeight="1" x14ac:dyDescent="0.25">
      <c r="A29" s="85" t="s">
        <v>21</v>
      </c>
      <c r="B29" s="84"/>
      <c r="C29" s="84"/>
      <c r="D29" s="10"/>
      <c r="E29" s="10"/>
      <c r="F29" s="10"/>
      <c r="G29" s="10"/>
    </row>
    <row r="30" spans="1:13" ht="16.5" customHeight="1" x14ac:dyDescent="0.25">
      <c r="A30" s="85" t="s">
        <v>22</v>
      </c>
      <c r="B30" s="84"/>
      <c r="C30" s="84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28F3-6C2E-43F8-B6D0-0AA2F49FA3C2}">
  <dimension ref="A2:G16"/>
  <sheetViews>
    <sheetView workbookViewId="0">
      <selection activeCell="B17" sqref="B17"/>
    </sheetView>
  </sheetViews>
  <sheetFormatPr baseColWidth="10" defaultRowHeight="14.25" x14ac:dyDescent="0.2"/>
  <cols>
    <col min="1" max="1" width="4" customWidth="1"/>
    <col min="2" max="2" width="45.25" bestFit="1" customWidth="1"/>
    <col min="3" max="3" width="13.375" bestFit="1" customWidth="1"/>
    <col min="4" max="4" width="12.375" bestFit="1" customWidth="1"/>
    <col min="5" max="5" width="18.75" customWidth="1"/>
    <col min="6" max="6" width="14.375" customWidth="1"/>
    <col min="7" max="7" width="29.25" bestFit="1" customWidth="1"/>
  </cols>
  <sheetData>
    <row r="2" spans="1:7" ht="15" x14ac:dyDescent="0.25">
      <c r="A2" s="33" t="s">
        <v>137</v>
      </c>
      <c r="B2" s="72" t="s">
        <v>118</v>
      </c>
      <c r="C2" s="73" t="s">
        <v>128</v>
      </c>
      <c r="D2" s="72" t="s">
        <v>129</v>
      </c>
      <c r="E2" s="72" t="s">
        <v>130</v>
      </c>
      <c r="F2" s="72" t="s">
        <v>133</v>
      </c>
    </row>
    <row r="3" spans="1:7" x14ac:dyDescent="0.2">
      <c r="A3">
        <v>1</v>
      </c>
      <c r="B3" s="74" t="s">
        <v>119</v>
      </c>
      <c r="C3" s="75">
        <v>351.05</v>
      </c>
      <c r="D3" s="75">
        <f>+C3</f>
        <v>351.05</v>
      </c>
      <c r="E3" s="76" t="s">
        <v>131</v>
      </c>
      <c r="F3" s="77">
        <v>45390</v>
      </c>
    </row>
    <row r="4" spans="1:7" x14ac:dyDescent="0.2">
      <c r="A4">
        <v>2</v>
      </c>
      <c r="B4" s="74" t="s">
        <v>120</v>
      </c>
      <c r="C4" s="75">
        <v>86.5</v>
      </c>
      <c r="D4" s="78">
        <v>469</v>
      </c>
      <c r="E4" s="74" t="s">
        <v>132</v>
      </c>
      <c r="F4" s="77">
        <v>45356</v>
      </c>
    </row>
    <row r="5" spans="1:7" x14ac:dyDescent="0.2">
      <c r="A5">
        <v>3</v>
      </c>
      <c r="B5" s="74" t="s">
        <v>121</v>
      </c>
      <c r="C5" s="75">
        <v>81.430000000000007</v>
      </c>
      <c r="D5" s="75">
        <v>75</v>
      </c>
      <c r="E5" s="74" t="s">
        <v>132</v>
      </c>
      <c r="F5" s="77">
        <v>45356</v>
      </c>
    </row>
    <row r="6" spans="1:7" x14ac:dyDescent="0.2">
      <c r="A6">
        <v>4</v>
      </c>
      <c r="B6" s="74" t="s">
        <v>122</v>
      </c>
      <c r="C6" s="75">
        <v>16596.599999999999</v>
      </c>
      <c r="D6" s="75">
        <f>+C6</f>
        <v>16596.599999999999</v>
      </c>
      <c r="E6" s="76" t="s">
        <v>131</v>
      </c>
      <c r="F6" s="77">
        <v>45390</v>
      </c>
    </row>
    <row r="7" spans="1:7" x14ac:dyDescent="0.2">
      <c r="A7">
        <v>5</v>
      </c>
      <c r="B7" s="74" t="s">
        <v>123</v>
      </c>
      <c r="C7" s="75">
        <v>8931.92</v>
      </c>
      <c r="D7" s="75">
        <f>+C7</f>
        <v>8931.92</v>
      </c>
      <c r="E7" s="76" t="s">
        <v>131</v>
      </c>
      <c r="F7" s="77">
        <v>45390</v>
      </c>
    </row>
    <row r="8" spans="1:7" x14ac:dyDescent="0.2">
      <c r="A8">
        <v>6</v>
      </c>
      <c r="B8" s="74" t="s">
        <v>124</v>
      </c>
      <c r="C8" s="78">
        <v>10400.67</v>
      </c>
      <c r="D8" s="78">
        <v>255</v>
      </c>
      <c r="E8" s="74" t="s">
        <v>132</v>
      </c>
      <c r="F8" s="79">
        <v>45274</v>
      </c>
    </row>
    <row r="9" spans="1:7" x14ac:dyDescent="0.2">
      <c r="A9">
        <v>7</v>
      </c>
      <c r="B9" s="74" t="s">
        <v>125</v>
      </c>
      <c r="C9" s="75">
        <v>27.54</v>
      </c>
      <c r="D9" s="78">
        <f>0.2*883.5</f>
        <v>176.70000000000002</v>
      </c>
      <c r="E9" s="76" t="s">
        <v>134</v>
      </c>
      <c r="F9" s="77">
        <v>45390</v>
      </c>
      <c r="G9" s="33"/>
    </row>
    <row r="10" spans="1:7" x14ac:dyDescent="0.2">
      <c r="A10">
        <v>8</v>
      </c>
      <c r="B10" s="74" t="s">
        <v>126</v>
      </c>
      <c r="C10" s="75">
        <v>28.04</v>
      </c>
      <c r="D10" s="78">
        <f>0.2*883.5</f>
        <v>176.70000000000002</v>
      </c>
      <c r="E10" s="76" t="s">
        <v>134</v>
      </c>
      <c r="F10" s="77">
        <v>45390</v>
      </c>
    </row>
    <row r="11" spans="1:7" x14ac:dyDescent="0.2">
      <c r="A11">
        <v>9</v>
      </c>
      <c r="B11" s="74" t="s">
        <v>127</v>
      </c>
      <c r="C11" s="75">
        <v>22.25</v>
      </c>
      <c r="D11" s="78">
        <f>0.2*883.5</f>
        <v>176.70000000000002</v>
      </c>
      <c r="E11" s="76" t="s">
        <v>134</v>
      </c>
      <c r="F11" s="77">
        <v>45390</v>
      </c>
    </row>
    <row r="14" spans="1:7" x14ac:dyDescent="0.2">
      <c r="B14" s="33" t="s">
        <v>135</v>
      </c>
    </row>
    <row r="15" spans="1:7" x14ac:dyDescent="0.2">
      <c r="B15" s="33" t="s">
        <v>136</v>
      </c>
    </row>
    <row r="16" spans="1:7" x14ac:dyDescent="0.2">
      <c r="B16" s="33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Insumos</vt:lpstr>
      <vt:lpstr>Costeo</vt:lpstr>
      <vt:lpstr>Insumos CMQ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2024-05-08T12:29:57Z</dcterms:modified>
</cp:coreProperties>
</file>