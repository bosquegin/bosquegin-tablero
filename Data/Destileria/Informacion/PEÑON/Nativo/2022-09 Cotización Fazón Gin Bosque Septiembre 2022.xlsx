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995B81BE-49E4-4C20-AA12-0D887BE93B1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39" i="3" l="1"/>
  <c r="E20" i="1"/>
  <c r="F39" i="3"/>
  <c r="C35" i="3"/>
  <c r="D16" i="1" l="1"/>
  <c r="D15" i="1"/>
  <c r="D12" i="1"/>
  <c r="D11" i="1"/>
  <c r="D10" i="1"/>
  <c r="D9" i="1"/>
  <c r="D7" i="1"/>
  <c r="G7" i="2"/>
  <c r="G6" i="2"/>
  <c r="D8" i="1"/>
  <c r="G12" i="1"/>
  <c r="G16" i="2"/>
  <c r="G14" i="2"/>
  <c r="G13" i="2"/>
  <c r="G12" i="2"/>
  <c r="G11" i="2"/>
  <c r="G10" i="2"/>
  <c r="G9" i="2"/>
  <c r="G8" i="2"/>
  <c r="C17" i="1"/>
  <c r="D2" i="1"/>
  <c r="C2" i="1"/>
  <c r="D14" i="1" l="1"/>
  <c r="D6" i="1"/>
  <c r="H16" i="2"/>
  <c r="I16" i="2" s="1"/>
  <c r="J16" i="2" s="1"/>
  <c r="D4" i="1" s="1"/>
  <c r="H14" i="2"/>
  <c r="I14" i="2" s="1"/>
  <c r="J14" i="2" s="1"/>
  <c r="H13" i="2"/>
  <c r="I13" i="2" s="1"/>
  <c r="J13" i="2" s="1"/>
  <c r="H12" i="2"/>
  <c r="I12" i="2" s="1"/>
  <c r="J12" i="2" s="1"/>
  <c r="H11" i="2"/>
  <c r="I11" i="2" s="1"/>
  <c r="J11" i="2" s="1"/>
  <c r="H10" i="2"/>
  <c r="I10" i="2" s="1"/>
  <c r="J10" i="2" s="1"/>
  <c r="H9" i="2"/>
  <c r="I9" i="2" s="1"/>
  <c r="J9" i="2" s="1"/>
  <c r="H8" i="2"/>
  <c r="I8" i="2" s="1"/>
  <c r="J8" i="2" s="1"/>
  <c r="F7" i="2"/>
  <c r="H7" i="2" s="1"/>
  <c r="I7" i="2" s="1"/>
  <c r="J7" i="2" s="1"/>
  <c r="F6" i="2"/>
  <c r="H6" i="2" s="1"/>
  <c r="H15" i="2" l="1"/>
  <c r="I6" i="2"/>
  <c r="F15" i="2"/>
  <c r="J6" i="2" l="1"/>
  <c r="J15" i="2" s="1"/>
  <c r="D5" i="1" s="1"/>
  <c r="D3" i="1" s="1"/>
  <c r="D13" i="1" s="1"/>
  <c r="I15" i="2"/>
  <c r="D17" i="1" l="1"/>
  <c r="D20" i="1" s="1"/>
</calcChain>
</file>

<file path=xl/sharedStrings.xml><?xml version="1.0" encoding="utf-8"?>
<sst xmlns="http://schemas.openxmlformats.org/spreadsheetml/2006/main" count="138" uniqueCount="108">
  <si>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</si>
  <si>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</si>
  <si>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</si>
  <si>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</si>
  <si>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</si>
  <si>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</si>
  <si>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</si>
  <si>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</si>
  <si>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</si>
  <si>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</si>
  <si>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</si>
  <si>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</si>
  <si>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</si>
  <si>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</si>
  <si>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</si>
  <si>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</si>
  <si>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</si>
  <si>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</si>
  <si>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</si>
  <si>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</si>
  <si>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</si>
  <si>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</si>
  <si>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</si>
  <si>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</si>
  <si>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</si>
  <si>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</si>
  <si>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</si>
  <si>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</si>
  <si>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</si>
  <si>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</si>
  <si>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</si>
  <si>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</si>
  <si>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</si>
  <si>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</si>
  <si>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</si>
  <si>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</si>
  <si>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</si>
  <si>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</si>
  <si>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</si>
  <si>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</si>
  <si>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</si>
  <si>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</si>
  <si>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</si>
  <si>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</si>
  <si>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</si>
  <si>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</si>
  <si>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</si>
  <si>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</si>
  <si>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</si>
  <si>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</si>
  <si>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</si>
  <si>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</si>
  <si>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</si>
  <si>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</si>
  <si>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</si>
  <si>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</si>
  <si>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</si>
  <si>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</si>
  <si>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</si>
  <si>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</si>
  <si>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</si>
  <si>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</si>
  <si>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</si>
  <si>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</si>
  <si>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</si>
  <si>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</si>
  <si>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</si>
  <si>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</si>
  <si>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</si>
  <si>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</si>
  <si>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</si>
  <si>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</si>
  <si>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</si>
  <si>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* aumento 18% sueldos Julio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</si>
  <si>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</si>
  <si>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</si>
  <si>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</si>
  <si>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</si>
  <si>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</si>
  <si>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</si>
  <si>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</si>
  <si>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* Ej. Al 31/08 - tomar Julio</t>
  </si>
  <si>
    <t>*7,4% inflación indec (Julio)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</si>
  <si>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</si>
  <si>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</si>
  <si>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</si>
  <si>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</si>
  <si>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</si>
  <si>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</si>
  <si>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</si>
  <si>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</si>
  <si>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</si>
  <si>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</si>
  <si>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</si>
  <si>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</si>
  <si>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</si>
  <si>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</si>
  <si>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</si>
  <si>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</si>
  <si>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</si>
  <si>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</si>
  <si>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</si>
  <si>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</si>
  <si>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</si>
  <si>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</si>
  <si>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</si>
  <si>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</si>
  <si>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sin aumento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</si>
</sst>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1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7" fillId="0" borderId="1" xfId="0" applyFont="1" applyBorder="1"/>
    <xf numFmtId="0" fontId="12" fillId="0" borderId="0" xfId="0" applyFont="1"/>
    <xf numFmtId="0" fontId="14" fillId="0" borderId="1" xfId="0" applyFont="1" applyBorder="1"/>
    <xf numFmtId="0" fontId="15" fillId="0" borderId="1" xfId="0" applyFont="1" applyBorder="1"/>
    <xf numFmtId="165" fontId="7" fillId="0" borderId="1" xfId="0" applyNumberFormat="1" applyFont="1" applyBorder="1"/>
    <xf numFmtId="0" fontId="16" fillId="0" borderId="1" xfId="0" applyFont="1" applyBorder="1"/>
    <xf numFmtId="165" fontId="16" fillId="0" borderId="1" xfId="0" applyNumberFormat="1" applyFont="1" applyBorder="1"/>
    <xf numFmtId="0" fontId="14" fillId="0" borderId="0" xfId="0" applyFont="1"/>
    <xf numFmtId="165" fontId="11" fillId="0" borderId="1" xfId="0" applyNumberFormat="1" applyFont="1" applyBorder="1"/>
    <xf numFmtId="164" fontId="7" fillId="0" borderId="0" xfId="0" applyNumberFormat="1" applyFont="1"/>
    <xf numFmtId="0" fontId="17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18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18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18" fillId="2" borderId="0" xfId="1" applyFont="1" applyFill="1" applyAlignment="1"/>
    <xf numFmtId="0" fontId="20" fillId="0" borderId="0" xfId="0" applyFont="1"/>
    <xf numFmtId="43" fontId="20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18" fillId="0" borderId="0" xfId="0" applyNumberFormat="1" applyFont="1"/>
    <xf numFmtId="0" fontId="13" fillId="0" borderId="0" xfId="0" applyFont="1"/>
    <xf numFmtId="43" fontId="13" fillId="2" borderId="0" xfId="1" applyFont="1" applyFill="1" applyAlignment="1"/>
    <xf numFmtId="43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1" fillId="0" borderId="2" xfId="0" applyNumberFormat="1" applyFont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  <xf numFmtId="0" fontId="15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22" workbookViewId="0">
      <selection activeCell="G39" sqref="G39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0" t="s">
        <v>75</v>
      </c>
      <c r="C2" s="45">
        <v>44774</v>
      </c>
      <c r="D2" s="45">
        <v>44805</v>
      </c>
    </row>
    <row r="3" spans="1:4" x14ac:dyDescent="0.2">
      <c r="C3" s="42"/>
      <c r="D3" s="42"/>
    </row>
    <row r="4" spans="1:4" x14ac:dyDescent="0.2">
      <c r="A4" s="61" t="s">
        <v>78</v>
      </c>
      <c r="B4" s="61"/>
      <c r="C4" s="44">
        <v>102.76258043055556</v>
      </c>
    </row>
    <row r="5" spans="1:4" x14ac:dyDescent="0.2">
      <c r="A5" s="34" t="s">
        <v>106</v>
      </c>
      <c r="C5" s="44">
        <v>40.799999999999997</v>
      </c>
    </row>
    <row r="6" spans="1:4" x14ac:dyDescent="0.2">
      <c r="C6" s="44">
        <v>61.962580430555562</v>
      </c>
    </row>
    <row r="7" spans="1:4" x14ac:dyDescent="0.2">
      <c r="C7" s="44">
        <v>149.11000000000001</v>
      </c>
    </row>
    <row r="8" spans="1:4" x14ac:dyDescent="0.2">
      <c r="C8" s="44">
        <v>0.9</v>
      </c>
    </row>
    <row r="9" spans="1:4" x14ac:dyDescent="0.2">
      <c r="C9" s="44">
        <v>1.88</v>
      </c>
    </row>
    <row r="10" spans="1:4" x14ac:dyDescent="0.2">
      <c r="C10" s="44">
        <v>45.6</v>
      </c>
    </row>
    <row r="11" spans="1:4" x14ac:dyDescent="0.2">
      <c r="C11" s="44">
        <v>13.12</v>
      </c>
    </row>
    <row r="12" spans="1:4" x14ac:dyDescent="0.2">
      <c r="C12" s="44">
        <v>66.36</v>
      </c>
    </row>
    <row r="13" spans="1:4" x14ac:dyDescent="0.2">
      <c r="C13" s="44">
        <v>21.25</v>
      </c>
    </row>
    <row r="14" spans="1:4" x14ac:dyDescent="0.2">
      <c r="C14" s="44">
        <v>50.374516086111115</v>
      </c>
    </row>
    <row r="15" spans="1:4" x14ac:dyDescent="0.2">
      <c r="C15" s="44">
        <v>89.96486868566447</v>
      </c>
    </row>
    <row r="16" spans="1:4" x14ac:dyDescent="0.2">
      <c r="C16" s="44">
        <v>40.298668685664481</v>
      </c>
    </row>
    <row r="17" spans="1:4" x14ac:dyDescent="0.2">
      <c r="C17" s="44">
        <v>49.666199999999996</v>
      </c>
    </row>
    <row r="19" spans="1:4" ht="15" x14ac:dyDescent="0.25">
      <c r="A19" s="40" t="s">
        <v>79</v>
      </c>
      <c r="B19" s="57">
        <v>44804</v>
      </c>
      <c r="C19" s="50">
        <v>145</v>
      </c>
      <c r="D19" s="40"/>
    </row>
    <row r="20" spans="1:4" x14ac:dyDescent="0.2">
      <c r="A20" t="s">
        <v>60</v>
      </c>
      <c r="B20" t="s">
        <v>41</v>
      </c>
      <c r="C20" s="49">
        <v>4860</v>
      </c>
      <c r="D20" s="44"/>
    </row>
    <row r="21" spans="1:4" x14ac:dyDescent="0.2">
      <c r="A21" t="s">
        <v>61</v>
      </c>
      <c r="B21" t="s">
        <v>42</v>
      </c>
      <c r="C21" s="49">
        <v>6006</v>
      </c>
      <c r="D21" s="44"/>
    </row>
    <row r="22" spans="1:4" x14ac:dyDescent="0.2">
      <c r="A22" t="s">
        <v>62</v>
      </c>
      <c r="B22" t="s">
        <v>43</v>
      </c>
      <c r="C22" s="49">
        <v>322</v>
      </c>
      <c r="D22" s="44"/>
    </row>
    <row r="23" spans="1:4" x14ac:dyDescent="0.2">
      <c r="A23" t="s">
        <v>63</v>
      </c>
      <c r="B23" t="s">
        <v>44</v>
      </c>
      <c r="C23" s="49">
        <v>18200</v>
      </c>
      <c r="D23" s="44"/>
    </row>
    <row r="24" spans="1:4" x14ac:dyDescent="0.2">
      <c r="A24" t="s">
        <v>64</v>
      </c>
      <c r="B24" t="s">
        <v>45</v>
      </c>
      <c r="C24" s="49">
        <v>3404</v>
      </c>
      <c r="D24" s="44"/>
    </row>
    <row r="25" spans="1:4" x14ac:dyDescent="0.2">
      <c r="A25" t="s">
        <v>65</v>
      </c>
      <c r="B25" t="s">
        <v>46</v>
      </c>
      <c r="C25" s="49">
        <v>753</v>
      </c>
      <c r="D25" s="44"/>
    </row>
    <row r="26" spans="1:4" x14ac:dyDescent="0.2">
      <c r="A26" t="s">
        <v>66</v>
      </c>
      <c r="B26" t="s">
        <v>47</v>
      </c>
      <c r="C26" s="49">
        <v>8892.75</v>
      </c>
      <c r="D26" s="44"/>
    </row>
    <row r="27" spans="1:4" x14ac:dyDescent="0.2">
      <c r="A27" t="s">
        <v>67</v>
      </c>
      <c r="B27" t="s">
        <v>48</v>
      </c>
      <c r="C27" s="49">
        <v>69.5</v>
      </c>
      <c r="D27" s="44"/>
    </row>
    <row r="28" spans="1:4" x14ac:dyDescent="0.2">
      <c r="A28" t="s">
        <v>68</v>
      </c>
      <c r="B28" t="s">
        <v>49</v>
      </c>
      <c r="C28" s="49">
        <v>81</v>
      </c>
      <c r="D28" s="44"/>
    </row>
    <row r="29" spans="1:4" x14ac:dyDescent="0.2">
      <c r="A29" t="s">
        <v>69</v>
      </c>
      <c r="B29" t="s">
        <v>51</v>
      </c>
      <c r="C29" s="49">
        <v>136</v>
      </c>
      <c r="D29" s="44"/>
    </row>
    <row r="30" spans="1:4" x14ac:dyDescent="0.2">
      <c r="A30" t="s">
        <v>88</v>
      </c>
      <c r="B30" t="s">
        <v>4</v>
      </c>
      <c r="C30" s="49">
        <v>0.95</v>
      </c>
    </row>
    <row r="31" spans="1:4" x14ac:dyDescent="0.2">
      <c r="A31" s="34" t="s">
        <v>97</v>
      </c>
      <c r="B31" t="s">
        <v>89</v>
      </c>
      <c r="C31" s="49">
        <v>987.91</v>
      </c>
      <c r="D31" s="34" t="s">
        <v>96</v>
      </c>
    </row>
    <row r="32" spans="1:4" x14ac:dyDescent="0.2">
      <c r="A32" s="34" t="s">
        <v>92</v>
      </c>
      <c r="B32" t="s">
        <v>90</v>
      </c>
      <c r="C32" s="49">
        <v>115</v>
      </c>
      <c r="D32" s="34" t="s">
        <v>94</v>
      </c>
    </row>
    <row r="33" spans="1:7" x14ac:dyDescent="0.2">
      <c r="A33" s="34" t="s">
        <v>98</v>
      </c>
      <c r="B33" s="34" t="s">
        <v>93</v>
      </c>
      <c r="C33" s="49">
        <v>1958.06</v>
      </c>
      <c r="D33" s="34" t="s">
        <v>95</v>
      </c>
    </row>
    <row r="34" spans="1:7" s="51" customFormat="1" ht="15" x14ac:dyDescent="0.25">
      <c r="A34" s="51" t="s">
        <v>99</v>
      </c>
      <c r="B34" s="51" t="s">
        <v>101</v>
      </c>
      <c r="C34" s="52">
        <v>12.55</v>
      </c>
      <c r="D34" s="51" t="s">
        <v>103</v>
      </c>
      <c r="F34" s="51">
        <v>12.55</v>
      </c>
    </row>
    <row r="35" spans="1:7" s="40" customFormat="1" ht="15" x14ac:dyDescent="0.25">
      <c r="B35" s="40" t="s">
        <v>91</v>
      </c>
      <c r="C35" s="50">
        <f>+(C31/980)+((C32*4)/980)+((C33/4)/980)+(C34/4)</f>
        <v>5.1144642857142859</v>
      </c>
    </row>
    <row r="36" spans="1:7" x14ac:dyDescent="0.2">
      <c r="A36" t="s">
        <v>70</v>
      </c>
      <c r="B36" t="s">
        <v>6</v>
      </c>
      <c r="C36" s="49">
        <v>50.7</v>
      </c>
    </row>
    <row r="37" spans="1:7" x14ac:dyDescent="0.2">
      <c r="A37" t="s">
        <v>59</v>
      </c>
      <c r="B37" t="s">
        <v>7</v>
      </c>
      <c r="C37" s="49">
        <v>20.6</v>
      </c>
    </row>
    <row r="38" spans="1:7" x14ac:dyDescent="0.2">
      <c r="A38" t="s">
        <v>57</v>
      </c>
      <c r="B38" t="s">
        <v>8</v>
      </c>
      <c r="C38" s="49">
        <v>66.36</v>
      </c>
    </row>
    <row r="39" spans="1:7" x14ac:dyDescent="0.2">
      <c r="A39" t="s">
        <v>84</v>
      </c>
      <c r="B39" t="s">
        <v>86</v>
      </c>
      <c r="C39" s="49">
        <v>58.13</v>
      </c>
      <c r="D39" s="34" t="s">
        <v>100</v>
      </c>
      <c r="F39" s="60">
        <f>+C39+C40</f>
        <v>79.89</v>
      </c>
      <c r="G39" s="60">
        <f>+F39/3.76</f>
        <v>21.247340425531917</v>
      </c>
    </row>
    <row r="40" spans="1:7" s="58" customFormat="1" x14ac:dyDescent="0.2">
      <c r="A40" s="58" t="s">
        <v>85</v>
      </c>
      <c r="B40" s="58" t="s">
        <v>87</v>
      </c>
      <c r="C40" s="59">
        <v>21.76</v>
      </c>
      <c r="D40" s="58" t="s">
        <v>104</v>
      </c>
    </row>
    <row r="41" spans="1:7" ht="15" x14ac:dyDescent="0.25">
      <c r="A41" s="40" t="s">
        <v>80</v>
      </c>
      <c r="C41" s="48">
        <v>7.3999999999999996E-2</v>
      </c>
      <c r="D41" t="s">
        <v>81</v>
      </c>
    </row>
    <row r="42" spans="1:7" ht="15" x14ac:dyDescent="0.25">
      <c r="A42" s="40" t="s">
        <v>83</v>
      </c>
      <c r="C42" s="49">
        <v>0</v>
      </c>
      <c r="D42" s="34" t="s">
        <v>107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G12" sqref="G1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3">
        <f>+Datos!C2</f>
        <v>44774</v>
      </c>
      <c r="D2" s="39">
        <f>+Datos!D2</f>
        <v>44805</v>
      </c>
    </row>
    <row r="3" spans="1:13" x14ac:dyDescent="0.25">
      <c r="A3" s="2" t="s">
        <v>55</v>
      </c>
      <c r="B3" s="2"/>
      <c r="C3" s="3">
        <v>102.76258043055556</v>
      </c>
      <c r="D3" s="53">
        <f>D4+D5</f>
        <v>103.73716852083334</v>
      </c>
      <c r="E3" s="13" t="s">
        <v>102</v>
      </c>
      <c r="L3" s="4"/>
      <c r="M3" s="5"/>
    </row>
    <row r="4" spans="1:13" x14ac:dyDescent="0.25">
      <c r="A4" s="6"/>
      <c r="B4" s="7" t="s">
        <v>1</v>
      </c>
      <c r="C4" s="8">
        <v>40.799999999999997</v>
      </c>
      <c r="D4" s="54">
        <f>Insumos!J16</f>
        <v>40.799999999999997</v>
      </c>
      <c r="E4" s="13"/>
      <c r="L4" s="4"/>
      <c r="M4" s="5"/>
    </row>
    <row r="5" spans="1:13" x14ac:dyDescent="0.25">
      <c r="A5" s="7"/>
      <c r="B5" s="7" t="s">
        <v>2</v>
      </c>
      <c r="C5" s="8">
        <v>61.962580430555562</v>
      </c>
      <c r="D5" s="55">
        <f>+Insumos!J15</f>
        <v>62.937168520833346</v>
      </c>
      <c r="E5" s="13"/>
      <c r="L5" s="4"/>
      <c r="M5" s="5"/>
    </row>
    <row r="6" spans="1:13" x14ac:dyDescent="0.25">
      <c r="A6" s="2" t="s">
        <v>3</v>
      </c>
      <c r="B6" s="2"/>
      <c r="C6" s="9">
        <v>149.11000000000001</v>
      </c>
      <c r="D6" s="53">
        <f>D7+D8+D9+D10+D11+D12</f>
        <v>164.9744642857143</v>
      </c>
      <c r="E6" s="13"/>
      <c r="L6" s="4"/>
      <c r="M6" s="5"/>
    </row>
    <row r="7" spans="1:13" x14ac:dyDescent="0.25">
      <c r="A7" s="7" t="s">
        <v>88</v>
      </c>
      <c r="B7" s="7" t="s">
        <v>4</v>
      </c>
      <c r="C7" s="10">
        <v>0.9</v>
      </c>
      <c r="D7" s="54">
        <f>+Datos!C30</f>
        <v>0.95</v>
      </c>
      <c r="E7" s="13"/>
      <c r="L7" s="4"/>
      <c r="M7" s="5"/>
    </row>
    <row r="8" spans="1:13" x14ac:dyDescent="0.25">
      <c r="A8" s="7"/>
      <c r="B8" s="7" t="s">
        <v>5</v>
      </c>
      <c r="C8" s="10">
        <v>1.88</v>
      </c>
      <c r="D8" s="54">
        <f>+Datos!C35</f>
        <v>5.1144642857142859</v>
      </c>
      <c r="E8" s="13" t="s">
        <v>105</v>
      </c>
      <c r="L8" s="4"/>
      <c r="M8" s="5"/>
    </row>
    <row r="9" spans="1:13" x14ac:dyDescent="0.25">
      <c r="A9" s="7" t="s">
        <v>70</v>
      </c>
      <c r="B9" s="7" t="s">
        <v>6</v>
      </c>
      <c r="C9" s="8">
        <v>45.6</v>
      </c>
      <c r="D9" s="54">
        <f>+Datos!C36</f>
        <v>50.7</v>
      </c>
      <c r="E9" s="34"/>
      <c r="L9" s="4"/>
      <c r="M9" s="5"/>
    </row>
    <row r="10" spans="1:13" x14ac:dyDescent="0.25">
      <c r="A10" s="7" t="s">
        <v>59</v>
      </c>
      <c r="B10" s="7" t="s">
        <v>7</v>
      </c>
      <c r="C10" s="8">
        <v>13.12</v>
      </c>
      <c r="D10" s="54">
        <f>+Datos!C37</f>
        <v>20.6</v>
      </c>
      <c r="E10" s="34"/>
      <c r="L10" s="4"/>
      <c r="M10" s="5"/>
    </row>
    <row r="11" spans="1:13" x14ac:dyDescent="0.25">
      <c r="A11" s="7" t="s">
        <v>57</v>
      </c>
      <c r="B11" s="7" t="s">
        <v>8</v>
      </c>
      <c r="C11" s="8">
        <v>66.36</v>
      </c>
      <c r="D11" s="54">
        <f>+Datos!C38</f>
        <v>66.36</v>
      </c>
      <c r="E11" s="34"/>
      <c r="L11" s="4"/>
      <c r="M11" s="5"/>
    </row>
    <row r="12" spans="1:13" x14ac:dyDescent="0.25">
      <c r="A12" s="7" t="s">
        <v>58</v>
      </c>
      <c r="B12" s="7" t="s">
        <v>9</v>
      </c>
      <c r="C12" s="8">
        <v>21.25</v>
      </c>
      <c r="D12" s="54">
        <f>+C12</f>
        <v>21.25</v>
      </c>
      <c r="E12" s="34"/>
      <c r="G12" s="51">
        <f>+(58.13+21.76)/4</f>
        <v>19.9725</v>
      </c>
      <c r="L12" s="4"/>
      <c r="M12" s="5"/>
    </row>
    <row r="13" spans="1:13" s="40" customFormat="1" x14ac:dyDescent="0.25">
      <c r="A13" s="2" t="s">
        <v>74</v>
      </c>
      <c r="B13" s="2">
        <v>0.2</v>
      </c>
      <c r="C13" s="3">
        <v>50.374516086111115</v>
      </c>
      <c r="D13" s="53">
        <f>+(D3+D6)*$B$13</f>
        <v>53.742326561309532</v>
      </c>
      <c r="G13" s="47"/>
      <c r="L13" s="38"/>
      <c r="M13" s="41"/>
    </row>
    <row r="14" spans="1:13" x14ac:dyDescent="0.25">
      <c r="A14" s="2" t="s">
        <v>10</v>
      </c>
      <c r="B14" s="11"/>
      <c r="C14" s="12">
        <v>89.96486868566447</v>
      </c>
      <c r="D14" s="56">
        <f>D15+D16</f>
        <v>92.946970168403652</v>
      </c>
      <c r="L14" s="4"/>
      <c r="M14" s="5"/>
    </row>
    <row r="15" spans="1:13" x14ac:dyDescent="0.25">
      <c r="A15" s="7"/>
      <c r="B15" s="7" t="s">
        <v>11</v>
      </c>
      <c r="C15" s="8">
        <v>40.298668685664481</v>
      </c>
      <c r="D15" s="54">
        <f>C15*(1+Datos!C41)</f>
        <v>43.280770168403656</v>
      </c>
      <c r="E15" s="13" t="s">
        <v>82</v>
      </c>
      <c r="G15" s="46"/>
      <c r="L15" s="4"/>
      <c r="M15" s="5"/>
    </row>
    <row r="16" spans="1:13" x14ac:dyDescent="0.25">
      <c r="A16" s="7"/>
      <c r="B16" s="7" t="s">
        <v>12</v>
      </c>
      <c r="C16" s="8">
        <v>49.666199999999996</v>
      </c>
      <c r="D16" s="54">
        <f>+C16*(1+Datos!C42)</f>
        <v>49.666199999999996</v>
      </c>
      <c r="E16" s="13" t="s">
        <v>73</v>
      </c>
      <c r="G16" s="46"/>
      <c r="L16" s="4"/>
      <c r="M16" s="5"/>
    </row>
    <row r="17" spans="1:13" x14ac:dyDescent="0.25">
      <c r="A17" s="2"/>
      <c r="B17" s="2" t="s">
        <v>13</v>
      </c>
      <c r="C17" s="3">
        <f>+C3+C6+C13+C14</f>
        <v>392.21196520233116</v>
      </c>
      <c r="D17" s="53">
        <f>+D3+D6+D13+D14</f>
        <v>415.40092953626083</v>
      </c>
      <c r="L17" s="4"/>
      <c r="M17" s="5"/>
    </row>
    <row r="18" spans="1:13" x14ac:dyDescent="0.25">
      <c r="A18" s="37"/>
      <c r="B18" s="37"/>
      <c r="C18" s="38"/>
      <c r="D18" s="38"/>
      <c r="L18" s="4"/>
      <c r="M18" s="5"/>
    </row>
    <row r="19" spans="1:13" x14ac:dyDescent="0.25">
      <c r="A19" s="37"/>
      <c r="B19" s="37"/>
      <c r="C19" s="38"/>
      <c r="D19" s="38"/>
      <c r="L19" s="4"/>
      <c r="M19" s="5"/>
    </row>
    <row r="20" spans="1:13" x14ac:dyDescent="0.25">
      <c r="A20" s="37"/>
      <c r="B20" s="37"/>
      <c r="C20" s="38" t="s">
        <v>72</v>
      </c>
      <c r="D20" s="38">
        <f>+D17*4</f>
        <v>1661.6037181450433</v>
      </c>
      <c r="E20">
        <f>+D20/4</f>
        <v>415.40092953626083</v>
      </c>
      <c r="L20" s="4"/>
      <c r="M20" s="5"/>
    </row>
    <row r="21" spans="1:13" x14ac:dyDescent="0.25">
      <c r="D21" s="35"/>
    </row>
    <row r="22" spans="1:13" ht="15" customHeight="1" x14ac:dyDescent="0.25">
      <c r="A22" s="64" t="s">
        <v>14</v>
      </c>
      <c r="B22" s="63"/>
      <c r="C22" s="63"/>
      <c r="D22" s="36"/>
      <c r="E22" s="14"/>
      <c r="F22" s="14"/>
      <c r="G22" s="14"/>
    </row>
    <row r="23" spans="1:13" ht="15" customHeight="1" x14ac:dyDescent="0.25">
      <c r="A23" s="62" t="s">
        <v>15</v>
      </c>
      <c r="B23" s="63"/>
      <c r="C23" s="63"/>
      <c r="D23" s="15"/>
      <c r="E23" s="15"/>
      <c r="F23" s="15"/>
      <c r="G23" s="15"/>
    </row>
    <row r="24" spans="1:13" ht="15" customHeight="1" x14ac:dyDescent="0.25">
      <c r="A24" s="62" t="s">
        <v>16</v>
      </c>
      <c r="B24" s="63"/>
      <c r="C24" s="63"/>
      <c r="D24" s="15"/>
      <c r="E24" s="15"/>
      <c r="F24" s="15"/>
      <c r="G24" s="15"/>
    </row>
    <row r="25" spans="1:13" ht="30.75" customHeight="1" x14ac:dyDescent="0.25">
      <c r="A25" s="62" t="s">
        <v>17</v>
      </c>
      <c r="B25" s="63"/>
      <c r="C25" s="63"/>
      <c r="D25" s="15"/>
      <c r="E25" s="15"/>
      <c r="F25" s="15"/>
      <c r="G25" s="15"/>
    </row>
    <row r="26" spans="1:13" ht="15" customHeight="1" x14ac:dyDescent="0.25">
      <c r="A26" s="62" t="s">
        <v>18</v>
      </c>
      <c r="B26" s="63"/>
      <c r="C26" s="63"/>
      <c r="D26" s="15"/>
      <c r="E26" s="15"/>
      <c r="F26" s="15"/>
      <c r="G26" s="15"/>
    </row>
    <row r="27" spans="1:13" ht="15" customHeight="1" x14ac:dyDescent="0.25">
      <c r="A27" s="62" t="s">
        <v>19</v>
      </c>
      <c r="B27" s="63"/>
      <c r="C27" s="63"/>
      <c r="D27" s="15"/>
      <c r="E27" s="15"/>
      <c r="F27" s="15"/>
      <c r="G27" s="15"/>
    </row>
    <row r="28" spans="1:13" ht="15" customHeight="1" x14ac:dyDescent="0.25">
      <c r="A28" s="62" t="s">
        <v>20</v>
      </c>
      <c r="B28" s="63"/>
      <c r="C28" s="63"/>
      <c r="D28" s="15"/>
      <c r="E28" s="15"/>
      <c r="F28" s="15"/>
      <c r="G28" s="15"/>
    </row>
    <row r="29" spans="1:13" ht="15" customHeight="1" x14ac:dyDescent="0.25">
      <c r="A29" s="62" t="s">
        <v>21</v>
      </c>
      <c r="B29" s="63"/>
      <c r="C29" s="63"/>
      <c r="D29" s="15"/>
      <c r="E29" s="15"/>
      <c r="F29" s="15"/>
      <c r="G29" s="15"/>
    </row>
    <row r="30" spans="1:13" ht="16.5" customHeight="1" x14ac:dyDescent="0.25">
      <c r="A30" s="62" t="s">
        <v>22</v>
      </c>
      <c r="B30" s="63"/>
      <c r="C30" s="63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71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9"/>
  <sheetViews>
    <sheetView topLeftCell="D4" workbookViewId="0">
      <selection activeCell="G12" sqref="G12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14.25" x14ac:dyDescent="0.2">
      <c r="A1" s="19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0" x14ac:dyDescent="0.4">
      <c r="A2" s="19" t="s">
        <v>29</v>
      </c>
      <c r="B2" s="20" t="s">
        <v>30</v>
      </c>
      <c r="C2" s="17" t="s">
        <v>31</v>
      </c>
      <c r="D2" s="18"/>
      <c r="E2" s="21"/>
      <c r="F2" s="18"/>
      <c r="G2" s="22" t="s">
        <v>32</v>
      </c>
      <c r="H2" s="23">
        <v>900</v>
      </c>
      <c r="I2" s="24" t="s">
        <v>33</v>
      </c>
      <c r="J2" s="18"/>
      <c r="K2" s="18"/>
    </row>
    <row r="3" spans="1:13" ht="14.25" x14ac:dyDescent="0.2">
      <c r="A3" s="19"/>
      <c r="B3" s="18"/>
      <c r="C3" s="18"/>
      <c r="D3" s="18"/>
      <c r="E3" s="18"/>
      <c r="F3" s="18"/>
    </row>
    <row r="4" spans="1:13" ht="30" x14ac:dyDescent="0.4">
      <c r="A4" s="19"/>
      <c r="B4" s="25"/>
      <c r="C4" s="25"/>
      <c r="D4" s="25"/>
      <c r="E4" s="18"/>
      <c r="F4" s="18"/>
      <c r="G4" s="65">
        <v>44738</v>
      </c>
      <c r="H4" s="66"/>
      <c r="I4" s="66"/>
      <c r="J4" s="67"/>
      <c r="K4" s="18"/>
      <c r="L4" s="18"/>
      <c r="M4" s="18"/>
    </row>
    <row r="5" spans="1:13" ht="18" x14ac:dyDescent="0.25">
      <c r="A5" s="19" t="s">
        <v>34</v>
      </c>
      <c r="B5" s="18"/>
      <c r="C5" s="18"/>
      <c r="D5" s="18"/>
      <c r="E5" s="26" t="s">
        <v>35</v>
      </c>
      <c r="F5" s="26" t="s">
        <v>36</v>
      </c>
      <c r="G5" s="23" t="s">
        <v>37</v>
      </c>
      <c r="H5" s="23" t="s">
        <v>38</v>
      </c>
      <c r="I5" s="23" t="s">
        <v>39</v>
      </c>
      <c r="J5" s="23" t="s">
        <v>40</v>
      </c>
    </row>
    <row r="6" spans="1:13" x14ac:dyDescent="0.2">
      <c r="A6" s="19"/>
      <c r="B6" s="18"/>
      <c r="C6" s="18"/>
      <c r="D6" s="18" t="s">
        <v>60</v>
      </c>
      <c r="E6" s="27" t="s">
        <v>41</v>
      </c>
      <c r="F6" s="27">
        <f t="shared" ref="F6:F7" si="0">19282.5/2</f>
        <v>9641.25</v>
      </c>
      <c r="G6" s="28">
        <f>+Datos!C20</f>
        <v>4860</v>
      </c>
      <c r="H6" s="28">
        <f t="shared" ref="H6:H14" si="1">G6*F6/1000</f>
        <v>46856.474999999999</v>
      </c>
      <c r="I6" s="28">
        <f t="shared" ref="I6:I14" si="2">+H6/$H$2</f>
        <v>52.062750000000001</v>
      </c>
      <c r="J6" s="28">
        <f t="shared" ref="J6:J14" si="3">I6/2</f>
        <v>26.031375000000001</v>
      </c>
    </row>
    <row r="7" spans="1:13" x14ac:dyDescent="0.2">
      <c r="A7" s="19"/>
      <c r="B7" s="18"/>
      <c r="C7" s="18"/>
      <c r="D7" s="18" t="s">
        <v>61</v>
      </c>
      <c r="E7" s="27" t="s">
        <v>42</v>
      </c>
      <c r="F7" s="27">
        <f t="shared" si="0"/>
        <v>9641.25</v>
      </c>
      <c r="G7" s="28">
        <f>+Datos!C21</f>
        <v>6006</v>
      </c>
      <c r="H7" s="28">
        <f t="shared" si="1"/>
        <v>57905.347500000003</v>
      </c>
      <c r="I7" s="28">
        <f t="shared" si="2"/>
        <v>64.339275000000001</v>
      </c>
      <c r="J7" s="28">
        <f t="shared" si="3"/>
        <v>32.1696375</v>
      </c>
    </row>
    <row r="8" spans="1:13" x14ac:dyDescent="0.2">
      <c r="A8" s="19"/>
      <c r="B8" s="18"/>
      <c r="C8" s="18"/>
      <c r="D8" s="18" t="s">
        <v>62</v>
      </c>
      <c r="E8" s="27" t="s">
        <v>43</v>
      </c>
      <c r="F8" s="27">
        <v>3857.5</v>
      </c>
      <c r="G8" s="28">
        <f>+Datos!C22</f>
        <v>322</v>
      </c>
      <c r="H8" s="28">
        <f t="shared" si="1"/>
        <v>1242.115</v>
      </c>
      <c r="I8" s="28">
        <f t="shared" si="2"/>
        <v>1.3801277777777778</v>
      </c>
      <c r="J8" s="28">
        <f t="shared" si="3"/>
        <v>0.69006388888888892</v>
      </c>
    </row>
    <row r="9" spans="1:13" x14ac:dyDescent="0.2">
      <c r="A9" s="19"/>
      <c r="B9" s="18"/>
      <c r="C9" s="18"/>
      <c r="D9" s="18" t="s">
        <v>63</v>
      </c>
      <c r="E9" s="27" t="s">
        <v>44</v>
      </c>
      <c r="F9" s="27">
        <v>61.5</v>
      </c>
      <c r="G9" s="28">
        <f>+Datos!C23</f>
        <v>18200</v>
      </c>
      <c r="H9" s="28">
        <f t="shared" si="1"/>
        <v>1119.3</v>
      </c>
      <c r="I9" s="28">
        <f t="shared" si="2"/>
        <v>1.2436666666666667</v>
      </c>
      <c r="J9" s="28">
        <f t="shared" si="3"/>
        <v>0.62183333333333335</v>
      </c>
    </row>
    <row r="10" spans="1:13" x14ac:dyDescent="0.2">
      <c r="A10" s="19"/>
      <c r="B10" s="18"/>
      <c r="C10" s="18"/>
      <c r="D10" s="18" t="s">
        <v>64</v>
      </c>
      <c r="E10" s="27" t="s">
        <v>45</v>
      </c>
      <c r="F10" s="27">
        <v>41.25</v>
      </c>
      <c r="G10" s="28">
        <f>+Datos!C24</f>
        <v>3404</v>
      </c>
      <c r="H10" s="28">
        <f t="shared" si="1"/>
        <v>140.41499999999999</v>
      </c>
      <c r="I10" s="28">
        <f t="shared" si="2"/>
        <v>0.15601666666666666</v>
      </c>
      <c r="J10" s="28">
        <f t="shared" si="3"/>
        <v>7.8008333333333332E-2</v>
      </c>
    </row>
    <row r="11" spans="1:13" x14ac:dyDescent="0.2">
      <c r="A11" s="19"/>
      <c r="B11" s="18"/>
      <c r="C11" s="18"/>
      <c r="D11" s="18" t="s">
        <v>65</v>
      </c>
      <c r="E11" s="27" t="s">
        <v>46</v>
      </c>
      <c r="F11" s="27">
        <v>900</v>
      </c>
      <c r="G11" s="28">
        <f>+Datos!C25</f>
        <v>753</v>
      </c>
      <c r="H11" s="28">
        <f t="shared" si="1"/>
        <v>677.7</v>
      </c>
      <c r="I11" s="28">
        <f t="shared" si="2"/>
        <v>0.753</v>
      </c>
      <c r="J11" s="28">
        <f t="shared" si="3"/>
        <v>0.3765</v>
      </c>
    </row>
    <row r="12" spans="1:13" x14ac:dyDescent="0.2">
      <c r="A12" s="19"/>
      <c r="B12" s="18"/>
      <c r="C12" s="18"/>
      <c r="D12" s="18" t="s">
        <v>66</v>
      </c>
      <c r="E12" s="27" t="s">
        <v>47</v>
      </c>
      <c r="F12" s="27">
        <v>514.25</v>
      </c>
      <c r="G12" s="28">
        <f>+Datos!C26</f>
        <v>8892.75</v>
      </c>
      <c r="H12" s="28">
        <f t="shared" si="1"/>
        <v>4573.0966875000004</v>
      </c>
      <c r="I12" s="28">
        <f t="shared" si="2"/>
        <v>5.0812185416666669</v>
      </c>
      <c r="J12" s="28">
        <f t="shared" si="3"/>
        <v>2.5406092708333334</v>
      </c>
    </row>
    <row r="13" spans="1:13" x14ac:dyDescent="0.2">
      <c r="A13" s="19"/>
      <c r="B13" s="18"/>
      <c r="C13" s="18"/>
      <c r="D13" s="18" t="s">
        <v>67</v>
      </c>
      <c r="E13" s="27" t="s">
        <v>48</v>
      </c>
      <c r="F13" s="27">
        <v>52.06</v>
      </c>
      <c r="G13" s="28">
        <f>+Datos!C27*Datos!$C$19</f>
        <v>10077.5</v>
      </c>
      <c r="H13" s="28">
        <f t="shared" si="1"/>
        <v>524.63465000000008</v>
      </c>
      <c r="I13" s="28">
        <f t="shared" si="2"/>
        <v>0.58292738888888895</v>
      </c>
      <c r="J13" s="28">
        <f t="shared" si="3"/>
        <v>0.29146369444444448</v>
      </c>
    </row>
    <row r="14" spans="1:13" x14ac:dyDescent="0.2">
      <c r="A14" s="19"/>
      <c r="B14" s="18"/>
      <c r="C14" s="18"/>
      <c r="D14" s="18" t="s">
        <v>68</v>
      </c>
      <c r="E14" s="27" t="s">
        <v>49</v>
      </c>
      <c r="F14" s="27">
        <v>21.1</v>
      </c>
      <c r="G14" s="28">
        <f>+Datos!C28*Datos!$C$19</f>
        <v>11745</v>
      </c>
      <c r="H14" s="28">
        <f t="shared" si="1"/>
        <v>247.81950000000003</v>
      </c>
      <c r="I14" s="28">
        <f t="shared" si="2"/>
        <v>0.27535500000000002</v>
      </c>
      <c r="J14" s="28">
        <f t="shared" si="3"/>
        <v>0.13767750000000001</v>
      </c>
    </row>
    <row r="15" spans="1:13" ht="15.75" x14ac:dyDescent="0.25">
      <c r="A15" s="19"/>
      <c r="B15" s="18"/>
      <c r="C15" s="18"/>
      <c r="D15" s="18"/>
      <c r="E15" s="29" t="s">
        <v>50</v>
      </c>
      <c r="F15" s="29">
        <f>SUM(F6:F14)</f>
        <v>24730.16</v>
      </c>
      <c r="G15" s="30"/>
      <c r="H15" s="30">
        <f t="shared" ref="H15:J15" si="4">SUM(H6:H14)</f>
        <v>113286.90333750001</v>
      </c>
      <c r="I15" s="30">
        <f t="shared" si="4"/>
        <v>125.87433704166669</v>
      </c>
      <c r="J15" s="30">
        <f t="shared" si="4"/>
        <v>62.937168520833346</v>
      </c>
    </row>
    <row r="16" spans="1:13" ht="18" x14ac:dyDescent="0.25">
      <c r="A16" s="19"/>
      <c r="B16" s="18"/>
      <c r="C16" s="31"/>
      <c r="D16" s="18" t="s">
        <v>69</v>
      </c>
      <c r="E16" s="29" t="s">
        <v>51</v>
      </c>
      <c r="F16" s="29">
        <v>540000</v>
      </c>
      <c r="G16" s="32">
        <f>+Datos!C29</f>
        <v>136</v>
      </c>
      <c r="H16" s="32">
        <f>G16*F16/1000</f>
        <v>73440</v>
      </c>
      <c r="I16" s="32">
        <f>+H16/$H$2</f>
        <v>81.599999999999994</v>
      </c>
      <c r="J16" s="32">
        <f>I16/2</f>
        <v>40.799999999999997</v>
      </c>
      <c r="K16" s="18"/>
      <c r="L16" s="33"/>
      <c r="M16" s="18"/>
    </row>
    <row r="17" spans="1:13" ht="18" x14ac:dyDescent="0.25">
      <c r="A17" s="19"/>
      <c r="B17" s="18"/>
      <c r="C17" s="31"/>
      <c r="D17" s="18"/>
      <c r="E17" s="18"/>
      <c r="F17" s="18"/>
      <c r="G17" s="18"/>
      <c r="H17" s="18"/>
      <c r="I17" s="18"/>
      <c r="J17" s="18"/>
      <c r="K17" s="18"/>
      <c r="L17" s="33"/>
      <c r="M17" s="18"/>
    </row>
    <row r="18" spans="1:13" ht="18" x14ac:dyDescent="0.25">
      <c r="A18" s="19"/>
      <c r="B18" s="18"/>
      <c r="C18" s="31" t="s">
        <v>52</v>
      </c>
      <c r="D18" s="18"/>
      <c r="E18" s="18"/>
      <c r="F18" s="18"/>
      <c r="G18" s="18"/>
      <c r="H18" s="18"/>
      <c r="I18" s="18"/>
      <c r="J18" s="18"/>
      <c r="K18" s="18"/>
      <c r="L18" s="33"/>
      <c r="M18" s="18"/>
    </row>
    <row r="19" spans="1:13" ht="90" customHeight="1" x14ac:dyDescent="0.2">
      <c r="A19" s="19" t="s">
        <v>53</v>
      </c>
      <c r="B19" s="18"/>
      <c r="C19" s="18"/>
      <c r="D19" s="68" t="s">
        <v>54</v>
      </c>
      <c r="E19" s="63"/>
      <c r="F19" s="63"/>
      <c r="G19" s="63"/>
      <c r="H19" s="63"/>
      <c r="I19" s="63"/>
      <c r="J19" s="63"/>
      <c r="K19" s="63"/>
      <c r="L19" s="18"/>
      <c r="M19" s="18"/>
    </row>
    <row r="20" spans="1:13" ht="15.75" customHeight="1" x14ac:dyDescent="0.2"/>
    <row r="21" spans="1:13" ht="15.75" customHeight="1" x14ac:dyDescent="0.2"/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2">
    <mergeCell ref="G4:J4"/>
    <mergeCell ref="D19:K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2023-02-13T19:37:53Z</dcterms:modified>
</cp:coreProperties>
</file>