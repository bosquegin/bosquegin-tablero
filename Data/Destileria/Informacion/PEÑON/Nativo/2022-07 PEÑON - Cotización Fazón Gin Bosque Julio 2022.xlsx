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A8A1AB5F-C2E3-4632-A1AD-204A9AD479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steo" sheetId="1" r:id="rId1"/>
    <sheet name="Insumos" sheetId="2" r:id="rId2"/>
  </sheets>
  <definedNames>
    <definedName name="_xlnm.Print_Area" localSheetId="0">Costeo!$A$2:$K$35</definedName>
    <definedName name="_xlnm.Print_Area" localSheetId="1">Insumos!$A$1:$H$23</definedName>
  </definedName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E19" i="1" l="1"/>
  <c r="E17" i="1"/>
  <c r="D17" i="1"/>
  <c r="C17" i="1"/>
  <c r="G5" i="1" l="1"/>
  <c r="J9" i="1"/>
  <c r="J7" i="1"/>
  <c r="J6" i="1"/>
  <c r="G8" i="1"/>
  <c r="G11" i="1"/>
  <c r="G6" i="1"/>
  <c r="D15" i="1"/>
  <c r="G4" i="1"/>
  <c r="G3" i="1"/>
  <c r="D18" i="2"/>
  <c r="D17" i="2"/>
  <c r="D10" i="2"/>
  <c r="D14" i="1" l="1"/>
  <c r="D13" i="1" l="1"/>
  <c r="E20" i="2"/>
  <c r="F20" i="2" s="1"/>
  <c r="G20" i="2" s="1"/>
  <c r="D4" i="1" s="1"/>
  <c r="E18" i="2"/>
  <c r="F18" i="2" s="1"/>
  <c r="G18" i="2" s="1"/>
  <c r="E17" i="2"/>
  <c r="F17" i="2" s="1"/>
  <c r="G17" i="2" s="1"/>
  <c r="E16" i="2"/>
  <c r="F16" i="2" s="1"/>
  <c r="G16" i="2" s="1"/>
  <c r="E15" i="2"/>
  <c r="F15" i="2" s="1"/>
  <c r="G15" i="2" s="1"/>
  <c r="E14" i="2"/>
  <c r="F14" i="2" s="1"/>
  <c r="G14" i="2" s="1"/>
  <c r="E13" i="2"/>
  <c r="F13" i="2" s="1"/>
  <c r="G13" i="2" s="1"/>
  <c r="E12" i="2"/>
  <c r="F12" i="2" s="1"/>
  <c r="G12" i="2" s="1"/>
  <c r="C11" i="2"/>
  <c r="E11" i="2" s="1"/>
  <c r="F11" i="2" s="1"/>
  <c r="G11" i="2" s="1"/>
  <c r="C10" i="2"/>
  <c r="E10" i="2" s="1"/>
  <c r="D6" i="1" l="1"/>
  <c r="E19" i="2"/>
  <c r="F10" i="2"/>
  <c r="C19" i="2"/>
  <c r="G10" i="2" l="1"/>
  <c r="G19" i="2" s="1"/>
  <c r="D5" i="1" s="1"/>
  <c r="D3" i="1" s="1"/>
  <c r="D16" i="1" s="1"/>
  <c r="D19" i="1" s="1"/>
  <c r="F19" i="2"/>
</calcChain>
</file>

<file path=xl/sharedStrings.xml><?xml version="1.0" encoding="utf-8"?>
<sst xmlns="http://schemas.openxmlformats.org/spreadsheetml/2006/main" count="85" uniqueCount="83">
  <si>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</si>
  <si>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</si>
  <si>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</si>
  <si>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</si>
  <si>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</si>
  <si>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</si>
  <si>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</si>
  <si>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</si>
  <si>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</si>
  <si>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</si>
  <si>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</si>
  <si>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</si>
  <si>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</si>
  <si>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</si>
  <si>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</si>
  <si>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</si>
  <si>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</si>
  <si>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</si>
  <si>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</si>
  <si>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</si>
  <si>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</si>
  <si>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</si>
  <si>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</si>
  <si>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</si>
  <si>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</si>
  <si>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</si>
  <si>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</si>
  <si>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</si>
  <si>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</si>
  <si>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</si>
  <si>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</si>
  <si>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</si>
  <si>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</si>
  <si>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</si>
  <si>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</si>
  <si>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</si>
  <si>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</si>
  <si>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</si>
  <si>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</si>
  <si>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</si>
  <si>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</si>
  <si>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</si>
  <si>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</si>
  <si>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</si>
  <si>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</si>
  <si>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</si>
  <si>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</si>
  <si>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</si>
  <si>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</si>
  <si>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</si>
  <si>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</si>
  <si>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</si>
  <si>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</si>
  <si>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</si>
  <si>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</si>
  <si>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</si>
  <si>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</si>
  <si>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</si>
  <si>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</si>
  <si>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</si>
  <si>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</si>
  <si>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</si>
  <si>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</si>
  <si>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</si>
  <si>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</si>
  <si>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</si>
  <si>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</si>
  <si>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</si>
  <si>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</si>
  <si>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PACK21</t>
  </si>
  <si>
    <t>IGB007</t>
  </si>
  <si>
    <t>* aumento 15% sueldos Abril</t>
  </si>
  <si>
    <t>Según cotización del mes * Desde 05-2022 se acuerda aplicar 20% sobre costo de insumos</t>
  </si>
  <si>
    <t xml:space="preserve">Precio x Caja x 4 </t>
  </si>
  <si>
    <t>cotización 01/06/22</t>
  </si>
  <si>
    <t>*5,1% inflación indec (Mayo)</t>
  </si>
  <si>
    <t>tonica</t>
  </si>
  <si>
    <t>ind</t>
  </si>
  <si>
    <t>fazonado</t>
  </si>
  <si>
    <t>tonic</t>
  </si>
  <si>
    <t>gin bosque 07</t>
  </si>
  <si>
    <t>fasonado x lt gt</t>
  </si>
  <si>
    <t>entrega en bin 1000 litros o formato similar - no incluye envase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</si>
</sst>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9">
    <font>
      <sz val="11"/>
      <color theme="1"/>
      <name val="Arial"/>
    </font>
    <font>
      <b/>
      <sz val="9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color rgb="FFFFFFFF"/>
      <name val="Calibri"/>
      <family val="2"/>
      <scheme val="major"/>
    </font>
    <font>
      <b/>
      <u/>
      <sz val="9"/>
      <color theme="1"/>
      <name val="Calibri"/>
      <family val="2"/>
      <scheme val="major"/>
    </font>
    <font>
      <sz val="9"/>
      <name val="Calibri"/>
      <family val="2"/>
      <scheme val="major"/>
    </font>
    <font>
      <sz val="9"/>
      <color theme="1"/>
      <name val="Calirbi"/>
    </font>
    <font>
      <b/>
      <sz val="9"/>
      <color theme="1"/>
      <name val="Calirbi"/>
    </font>
    <font>
      <i/>
      <sz val="9"/>
      <color theme="1"/>
      <name val="Calirb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12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4" fontId="2" fillId="0" borderId="0" xfId="0" applyNumberFormat="1" applyFont="1"/>
    <xf numFmtId="0" fontId="6" fillId="0" borderId="0" xfId="0" applyFont="1"/>
    <xf numFmtId="0" fontId="7" fillId="0" borderId="1" xfId="0" applyFont="1" applyBorder="1"/>
    <xf numFmtId="0" fontId="7" fillId="2" borderId="1" xfId="0" applyFont="1" applyFill="1" applyBorder="1"/>
    <xf numFmtId="14" fontId="7" fillId="0" borderId="1" xfId="0" applyNumberFormat="1" applyFont="1" applyBorder="1"/>
    <xf numFmtId="165" fontId="7" fillId="0" borderId="1" xfId="0" applyNumberFormat="1" applyFont="1" applyBorder="1"/>
    <xf numFmtId="165" fontId="6" fillId="0" borderId="0" xfId="0" applyNumberFormat="1" applyFont="1"/>
    <xf numFmtId="166" fontId="6" fillId="0" borderId="0" xfId="0" applyNumberFormat="1" applyFont="1"/>
    <xf numFmtId="0" fontId="6" fillId="0" borderId="1" xfId="0" applyFont="1" applyBorder="1"/>
    <xf numFmtId="165" fontId="6" fillId="0" borderId="1" xfId="0" applyNumberFormat="1" applyFont="1" applyBorder="1"/>
    <xf numFmtId="166" fontId="7" fillId="0" borderId="1" xfId="0" applyNumberFormat="1" applyFont="1" applyBorder="1"/>
    <xf numFmtId="166" fontId="6" fillId="0" borderId="1" xfId="0" applyNumberFormat="1" applyFont="1" applyBorder="1"/>
    <xf numFmtId="0" fontId="6" fillId="0" borderId="0" xfId="0" applyFont="1" applyAlignment="1">
      <alignment wrapText="1"/>
    </xf>
    <xf numFmtId="0" fontId="8" fillId="0" borderId="0" xfId="0" applyFont="1"/>
    <xf numFmtId="0" fontId="7" fillId="0" borderId="0" xfId="0" applyFont="1"/>
    <xf numFmtId="165" fontId="7" fillId="0" borderId="0" xfId="0" applyNumberFormat="1" applyFont="1"/>
    <xf numFmtId="44" fontId="6" fillId="0" borderId="0" xfId="0" applyNumberFormat="1" applyFont="1" applyAlignment="1">
      <alignment wrapText="1"/>
    </xf>
    <xf numFmtId="0" fontId="7" fillId="0" borderId="0" xfId="0" applyFont="1" applyAlignment="1">
      <alignment horizontal="left" wrapText="1"/>
    </xf>
    <xf numFmtId="44" fontId="7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4" fontId="6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 applyAlignment="1">
      <alignment horizontal="left" wrapText="1"/>
    </xf>
    <xf numFmtId="167" fontId="1" fillId="0" borderId="2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2"/>
  <sheetViews>
    <sheetView tabSelected="1" workbookViewId="0">
      <selection activeCell="C17" activeCellId="3" sqref="C13 C6 C3 C17"/>
    </sheetView>
  </sheetViews>
  <sheetFormatPr baseColWidth="10" defaultColWidth="12.625" defaultRowHeight="15" customHeight="1"/>
  <cols>
    <col min="1" max="1" width="21.25" style="13" bestFit="1" customWidth="1"/>
    <col min="2" max="2" width="66.625" style="13" bestFit="1" customWidth="1"/>
    <col min="3" max="3" width="28.875" style="13" bestFit="1" customWidth="1"/>
    <col min="4" max="4" width="9.125" style="13" bestFit="1" customWidth="1"/>
    <col min="5" max="5" width="21.625" style="13" bestFit="1" customWidth="1"/>
    <col min="6" max="6" width="0.125" style="13" customWidth="1"/>
    <col min="7" max="7" width="7.875" style="13" bestFit="1" customWidth="1"/>
    <col min="8" max="8" width="3" style="13" bestFit="1" customWidth="1"/>
    <col min="9" max="9" width="10.75" style="13" bestFit="1" customWidth="1"/>
    <col min="10" max="10" width="16.75" style="13" bestFit="1" customWidth="1"/>
    <col min="11" max="11" width="11.125" style="13" bestFit="1" customWidth="1"/>
    <col min="12" max="27" width="9.375" style="13" customWidth="1"/>
    <col min="28" max="16384" width="12.625" style="13"/>
  </cols>
  <sheetData>
    <row r="1" spans="1:13" ht="12">
      <c r="D1" s="13">
        <v>1.2</v>
      </c>
      <c r="J1" s="13">
        <v>0.2</v>
      </c>
    </row>
    <row r="2" spans="1:13" ht="12">
      <c r="A2" s="14"/>
      <c r="B2" s="14" t="s">
        <v>0</v>
      </c>
      <c r="C2" s="15" t="s">
        <v>74</v>
      </c>
      <c r="D2" s="16">
        <v>44743</v>
      </c>
      <c r="J2" s="13" t="s">
        <v>79</v>
      </c>
    </row>
    <row r="3" spans="1:13" ht="12">
      <c r="A3" s="14" t="s">
        <v>54</v>
      </c>
      <c r="B3" s="14"/>
      <c r="C3" s="17">
        <v>88.930405686111101</v>
      </c>
      <c r="D3" s="17">
        <f>D4+D5</f>
        <v>93.293868726388894</v>
      </c>
      <c r="G3" s="13">
        <f>93.29*2</f>
        <v>186.58</v>
      </c>
      <c r="I3" s="13" t="s">
        <v>80</v>
      </c>
      <c r="L3" s="18"/>
      <c r="M3" s="19"/>
    </row>
    <row r="4" spans="1:13" ht="12">
      <c r="A4" s="20"/>
      <c r="B4" s="20" t="s">
        <v>1</v>
      </c>
      <c r="C4" s="21">
        <v>37.799999999999997</v>
      </c>
      <c r="D4" s="21">
        <f>Insumos!G20</f>
        <v>39</v>
      </c>
      <c r="G4" s="13">
        <f>38.27*2</f>
        <v>76.540000000000006</v>
      </c>
      <c r="I4" s="13" t="s">
        <v>77</v>
      </c>
      <c r="L4" s="18"/>
      <c r="M4" s="19"/>
    </row>
    <row r="5" spans="1:13" ht="12">
      <c r="A5" s="20"/>
      <c r="B5" s="20" t="s">
        <v>2</v>
      </c>
      <c r="C5" s="21">
        <v>51.130405686111111</v>
      </c>
      <c r="D5" s="21">
        <f>+Insumos!G19</f>
        <v>54.293868726388887</v>
      </c>
      <c r="G5" s="13">
        <f>(42.09*1.15*2)*0.7</f>
        <v>67.764899999999997</v>
      </c>
      <c r="H5" s="13" t="s">
        <v>77</v>
      </c>
      <c r="I5" s="13" t="s">
        <v>78</v>
      </c>
      <c r="L5" s="18"/>
      <c r="M5" s="19"/>
    </row>
    <row r="6" spans="1:13" ht="12">
      <c r="A6" s="14" t="s">
        <v>3</v>
      </c>
      <c r="B6" s="14"/>
      <c r="C6" s="22">
        <v>131.16</v>
      </c>
      <c r="D6" s="22">
        <f>D7+D8+D9+D10+D11+D12</f>
        <v>138.60999999999999</v>
      </c>
      <c r="G6" s="13">
        <f>SUM(G3:G5)</f>
        <v>330.88490000000002</v>
      </c>
      <c r="J6" s="13">
        <f>+G6*0.2</f>
        <v>66.17698</v>
      </c>
      <c r="L6" s="18"/>
      <c r="M6" s="19"/>
    </row>
    <row r="7" spans="1:13" ht="12">
      <c r="A7" s="20" t="s">
        <v>69</v>
      </c>
      <c r="B7" s="20" t="s">
        <v>4</v>
      </c>
      <c r="C7" s="23">
        <v>0.9</v>
      </c>
      <c r="D7" s="23">
        <v>0.9</v>
      </c>
      <c r="G7" s="13">
        <v>20</v>
      </c>
      <c r="I7" s="13" t="s">
        <v>76</v>
      </c>
      <c r="J7" s="13">
        <f>0.8*G7</f>
        <v>16</v>
      </c>
      <c r="L7" s="18"/>
      <c r="M7" s="19"/>
    </row>
    <row r="8" spans="1:13" ht="12">
      <c r="A8" s="20"/>
      <c r="B8" s="20" t="s">
        <v>5</v>
      </c>
      <c r="C8" s="23">
        <v>1.45</v>
      </c>
      <c r="D8" s="23">
        <v>1.6</v>
      </c>
      <c r="G8" s="13">
        <f>+G6+G7</f>
        <v>350.88490000000002</v>
      </c>
      <c r="J8" s="13">
        <v>70</v>
      </c>
      <c r="K8" s="13" t="s">
        <v>81</v>
      </c>
      <c r="L8" s="18"/>
      <c r="M8" s="19"/>
    </row>
    <row r="9" spans="1:13" ht="12">
      <c r="A9" s="20" t="s">
        <v>70</v>
      </c>
      <c r="B9" s="20" t="s">
        <v>6</v>
      </c>
      <c r="C9" s="21">
        <v>38.64</v>
      </c>
      <c r="D9" s="21">
        <v>44.37</v>
      </c>
      <c r="J9" s="13">
        <f>SUM(J6:J8)</f>
        <v>152.17698000000001</v>
      </c>
      <c r="L9" s="18"/>
      <c r="M9" s="19"/>
    </row>
    <row r="10" spans="1:13" ht="12">
      <c r="A10" s="20" t="s">
        <v>58</v>
      </c>
      <c r="B10" s="20" t="s">
        <v>7</v>
      </c>
      <c r="C10" s="21">
        <v>13.12</v>
      </c>
      <c r="D10" s="21">
        <v>13.12</v>
      </c>
      <c r="L10" s="18"/>
      <c r="M10" s="19"/>
    </row>
    <row r="11" spans="1:13" ht="36">
      <c r="A11" s="20" t="s">
        <v>56</v>
      </c>
      <c r="B11" s="20" t="s">
        <v>8</v>
      </c>
      <c r="C11" s="21">
        <v>57.37</v>
      </c>
      <c r="D11" s="21">
        <v>57.37</v>
      </c>
      <c r="G11" s="13">
        <f>306*1.3</f>
        <v>397.8</v>
      </c>
      <c r="J11" s="24" t="s">
        <v>82</v>
      </c>
      <c r="L11" s="18"/>
      <c r="M11" s="19"/>
    </row>
    <row r="12" spans="1:13" ht="12">
      <c r="A12" s="20" t="s">
        <v>57</v>
      </c>
      <c r="B12" s="20" t="s">
        <v>9</v>
      </c>
      <c r="C12" s="21">
        <v>19.68</v>
      </c>
      <c r="D12" s="21">
        <v>21.25</v>
      </c>
      <c r="L12" s="18"/>
      <c r="M12" s="19"/>
    </row>
    <row r="13" spans="1:13" ht="12">
      <c r="A13" s="14" t="s">
        <v>10</v>
      </c>
      <c r="B13" s="14"/>
      <c r="C13" s="17">
        <v>78.503264160000001</v>
      </c>
      <c r="D13" s="17">
        <f>D14+D15</f>
        <v>80.360340632159989</v>
      </c>
      <c r="L13" s="18"/>
      <c r="M13" s="19"/>
    </row>
    <row r="14" spans="1:13" ht="12">
      <c r="A14" s="20"/>
      <c r="B14" s="20" t="s">
        <v>11</v>
      </c>
      <c r="C14" s="21">
        <v>36.413264160000004</v>
      </c>
      <c r="D14" s="21">
        <f>C14*1.051</f>
        <v>38.27034063216</v>
      </c>
      <c r="E14" s="25" t="s">
        <v>75</v>
      </c>
      <c r="L14" s="18"/>
      <c r="M14" s="19"/>
    </row>
    <row r="15" spans="1:13" ht="12">
      <c r="A15" s="20"/>
      <c r="B15" s="20" t="s">
        <v>12</v>
      </c>
      <c r="C15" s="21">
        <v>42.089999999999996</v>
      </c>
      <c r="D15" s="21">
        <f>+C15</f>
        <v>42.089999999999996</v>
      </c>
      <c r="E15" s="25" t="s">
        <v>71</v>
      </c>
      <c r="L15" s="18"/>
      <c r="M15" s="19"/>
    </row>
    <row r="16" spans="1:13" ht="12">
      <c r="A16" s="14"/>
      <c r="B16" s="14" t="s">
        <v>13</v>
      </c>
      <c r="C16" s="17">
        <v>340.52632267811106</v>
      </c>
      <c r="D16" s="17">
        <f>(D3+D6)*D1+D13</f>
        <v>358.64498310382663</v>
      </c>
      <c r="L16" s="18"/>
      <c r="M16" s="19"/>
    </row>
    <row r="17" spans="1:13" ht="12">
      <c r="A17" s="26"/>
      <c r="B17" s="26"/>
      <c r="C17" s="27">
        <f>+C16-C13-C6-C3</f>
        <v>41.932652831999945</v>
      </c>
      <c r="D17" s="27">
        <f>+C13+C6+C3</f>
        <v>298.59366984611108</v>
      </c>
      <c r="E17" s="13">
        <f>+D17*21%</f>
        <v>62.704670667683324</v>
      </c>
      <c r="L17" s="18"/>
      <c r="M17" s="19"/>
    </row>
    <row r="18" spans="1:13" ht="12">
      <c r="A18" s="26"/>
      <c r="B18" s="26"/>
      <c r="C18" s="27"/>
      <c r="D18" s="27"/>
      <c r="E18" s="33"/>
      <c r="L18" s="18"/>
      <c r="M18" s="19"/>
    </row>
    <row r="19" spans="1:13" ht="12">
      <c r="A19" s="26"/>
      <c r="B19" s="26"/>
      <c r="C19" s="27" t="s">
        <v>73</v>
      </c>
      <c r="D19" s="27">
        <f>+D16*4</f>
        <v>1434.5799324153065</v>
      </c>
      <c r="E19" s="13">
        <f>+D19/4</f>
        <v>358.64498310382663</v>
      </c>
      <c r="L19" s="18"/>
      <c r="M19" s="19"/>
    </row>
    <row r="20" spans="1:13" ht="12">
      <c r="D20" s="28"/>
    </row>
    <row r="21" spans="1:13" ht="15" customHeight="1">
      <c r="A21" s="36" t="s">
        <v>14</v>
      </c>
      <c r="B21" s="35"/>
      <c r="C21" s="35"/>
      <c r="D21" s="30"/>
      <c r="E21" s="29"/>
      <c r="F21" s="29"/>
      <c r="G21" s="29"/>
    </row>
    <row r="22" spans="1:13" ht="15" customHeight="1">
      <c r="A22" s="34" t="s">
        <v>15</v>
      </c>
      <c r="B22" s="35"/>
      <c r="C22" s="35"/>
      <c r="D22" s="31"/>
      <c r="E22" s="31"/>
      <c r="F22" s="31"/>
      <c r="G22" s="31"/>
    </row>
    <row r="23" spans="1:13" ht="15" customHeight="1">
      <c r="A23" s="34" t="s">
        <v>16</v>
      </c>
      <c r="B23" s="35"/>
      <c r="C23" s="35"/>
      <c r="D23" s="31"/>
      <c r="E23" s="31"/>
      <c r="F23" s="31"/>
      <c r="G23" s="31"/>
    </row>
    <row r="24" spans="1:13" ht="30.75" customHeight="1">
      <c r="A24" s="34" t="s">
        <v>17</v>
      </c>
      <c r="B24" s="35"/>
      <c r="C24" s="35"/>
      <c r="D24" s="31"/>
      <c r="E24" s="31"/>
      <c r="F24" s="31"/>
      <c r="G24" s="31"/>
    </row>
    <row r="25" spans="1:13" ht="15" customHeight="1">
      <c r="A25" s="34" t="s">
        <v>18</v>
      </c>
      <c r="B25" s="35"/>
      <c r="C25" s="35"/>
      <c r="D25" s="31"/>
      <c r="E25" s="31"/>
      <c r="F25" s="31"/>
      <c r="G25" s="31"/>
    </row>
    <row r="26" spans="1:13" ht="15" customHeight="1">
      <c r="A26" s="34" t="s">
        <v>19</v>
      </c>
      <c r="B26" s="35"/>
      <c r="C26" s="35"/>
      <c r="D26" s="31"/>
      <c r="E26" s="31"/>
      <c r="F26" s="31"/>
      <c r="G26" s="31"/>
    </row>
    <row r="27" spans="1:13" ht="15" customHeight="1">
      <c r="A27" s="34" t="s">
        <v>20</v>
      </c>
      <c r="B27" s="35"/>
      <c r="C27" s="35"/>
      <c r="D27" s="31"/>
      <c r="E27" s="31"/>
      <c r="F27" s="31"/>
      <c r="G27" s="31"/>
    </row>
    <row r="28" spans="1:13" ht="15" customHeight="1">
      <c r="A28" s="34" t="s">
        <v>21</v>
      </c>
      <c r="B28" s="35"/>
      <c r="C28" s="35"/>
      <c r="D28" s="31"/>
      <c r="E28" s="31"/>
      <c r="F28" s="31"/>
      <c r="G28" s="31"/>
    </row>
    <row r="29" spans="1:13" ht="16.5" customHeight="1">
      <c r="A29" s="34" t="s">
        <v>22</v>
      </c>
      <c r="B29" s="35"/>
      <c r="C29" s="35"/>
      <c r="D29" s="31"/>
      <c r="E29" s="31"/>
      <c r="F29" s="31"/>
      <c r="G29" s="31"/>
    </row>
    <row r="30" spans="1:13" ht="15.75" customHeight="1">
      <c r="A30" s="32"/>
      <c r="B30" s="32"/>
      <c r="C30" s="32"/>
      <c r="D30" s="32"/>
      <c r="E30" s="32"/>
      <c r="F30" s="32"/>
      <c r="G30" s="32"/>
    </row>
    <row r="31" spans="1:13" ht="15.75" customHeight="1"/>
    <row r="32" spans="1:13" ht="15.75" customHeight="1">
      <c r="A32" s="20" t="s">
        <v>23</v>
      </c>
      <c r="B32" s="20"/>
    </row>
    <row r="33" spans="1:3" ht="15.75" customHeight="1">
      <c r="A33" s="20" t="s">
        <v>24</v>
      </c>
      <c r="B33" s="14" t="s">
        <v>72</v>
      </c>
    </row>
    <row r="34" spans="1:3" ht="15.75" customHeight="1">
      <c r="A34" s="20" t="s">
        <v>25</v>
      </c>
      <c r="B34" s="20" t="s">
        <v>26</v>
      </c>
    </row>
    <row r="35" spans="1:3" ht="15.75" customHeight="1">
      <c r="A35" s="20" t="s">
        <v>12</v>
      </c>
      <c r="B35" s="20" t="s">
        <v>27</v>
      </c>
      <c r="C35" s="13" t="s">
        <v>55</v>
      </c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s="13" customFormat="1" ht="15.75" customHeight="1"/>
    <row r="50" s="13" customFormat="1" ht="15.75" customHeight="1"/>
    <row r="51" s="13" customFormat="1" ht="15.75" customHeight="1"/>
    <row r="52" s="13" customFormat="1" ht="15.75" customHeight="1"/>
    <row r="53" s="13" customFormat="1" ht="15.75" customHeight="1"/>
    <row r="54" s="13" customFormat="1" ht="15.75" customHeight="1"/>
    <row r="55" s="13" customFormat="1" ht="15.75" customHeight="1"/>
    <row r="56" s="13" customFormat="1" ht="15.75" customHeight="1"/>
    <row r="57" s="13" customFormat="1" ht="15.75" customHeight="1"/>
    <row r="58" s="13" customFormat="1" ht="15.75" customHeight="1"/>
    <row r="59" s="13" customFormat="1" ht="15.75" customHeight="1"/>
    <row r="60" s="13" customFormat="1" ht="15.75" customHeight="1"/>
    <row r="61" s="13" customFormat="1" ht="15.75" customHeight="1"/>
    <row r="62" s="13" customFormat="1" ht="15.75" customHeight="1"/>
    <row r="63" s="13" customFormat="1" ht="15.75" customHeight="1"/>
    <row r="64" s="13" customFormat="1" ht="15.75" customHeight="1"/>
    <row r="65" s="13" customFormat="1" ht="15.75" customHeight="1"/>
    <row r="66" s="13" customFormat="1" ht="15.75" customHeight="1"/>
    <row r="67" s="13" customFormat="1" ht="15.75" customHeight="1"/>
    <row r="68" s="13" customFormat="1" ht="15.75" customHeight="1"/>
    <row r="69" s="13" customFormat="1" ht="15.75" customHeight="1"/>
    <row r="70" s="13" customFormat="1" ht="15.75" customHeight="1"/>
    <row r="71" s="13" customFormat="1" ht="15.75" customHeight="1"/>
    <row r="72" s="13" customFormat="1" ht="15.75" customHeight="1"/>
    <row r="73" s="13" customFormat="1" ht="15.75" customHeight="1"/>
    <row r="74" s="13" customFormat="1" ht="15.75" customHeight="1"/>
    <row r="75" s="13" customFormat="1" ht="15.75" customHeight="1"/>
    <row r="76" s="13" customFormat="1" ht="15.75" customHeight="1"/>
    <row r="77" s="13" customFormat="1" ht="15.75" customHeight="1"/>
    <row r="78" s="13" customFormat="1" ht="15.75" customHeight="1"/>
    <row r="79" s="13" customFormat="1" ht="15.75" customHeight="1"/>
    <row r="80" s="13" customFormat="1" ht="15.75" customHeight="1"/>
    <row r="81" s="13" customFormat="1" ht="15.75" customHeight="1"/>
    <row r="82" s="13" customFormat="1" ht="15.75" customHeight="1"/>
    <row r="83" s="13" customFormat="1" ht="15.75" customHeight="1"/>
    <row r="84" s="13" customFormat="1" ht="15.75" customHeight="1"/>
    <row r="85" s="13" customFormat="1" ht="15.75" customHeight="1"/>
    <row r="86" s="13" customFormat="1" ht="15.75" customHeight="1"/>
    <row r="87" s="13" customFormat="1" ht="15.75" customHeight="1"/>
    <row r="88" s="13" customFormat="1" ht="15.75" customHeight="1"/>
    <row r="89" s="13" customFormat="1" ht="15.75" customHeight="1"/>
    <row r="90" s="13" customFormat="1" ht="15.75" customHeight="1"/>
    <row r="91" s="13" customFormat="1" ht="15.75" customHeight="1"/>
    <row r="92" s="13" customFormat="1" ht="15.75" customHeight="1"/>
    <row r="93" s="13" customFormat="1" ht="15.75" customHeight="1"/>
    <row r="94" s="13" customFormat="1" ht="15.75" customHeight="1"/>
    <row r="95" s="13" customFormat="1" ht="15.75" customHeight="1"/>
    <row r="96" s="13" customFormat="1" ht="15.75" customHeight="1"/>
    <row r="97" s="13" customFormat="1" ht="15.75" customHeight="1"/>
    <row r="98" s="13" customFormat="1" ht="15.75" customHeight="1"/>
    <row r="99" s="13" customFormat="1" ht="15.75" customHeight="1"/>
    <row r="100" s="13" customFormat="1" ht="15.75" customHeight="1"/>
    <row r="101" s="13" customFormat="1" ht="15.75" customHeight="1"/>
    <row r="102" s="13" customFormat="1" ht="15.75" customHeight="1"/>
    <row r="103" s="13" customFormat="1" ht="15.75" customHeight="1"/>
    <row r="104" s="13" customFormat="1" ht="15.75" customHeight="1"/>
    <row r="105" s="13" customFormat="1" ht="15.75" customHeight="1"/>
    <row r="106" s="13" customFormat="1" ht="15.75" customHeight="1"/>
    <row r="107" s="13" customFormat="1" ht="15.75" customHeight="1"/>
    <row r="108" s="13" customFormat="1" ht="15.75" customHeight="1"/>
    <row r="109" s="13" customFormat="1" ht="15.75" customHeight="1"/>
    <row r="110" s="13" customFormat="1" ht="15.75" customHeight="1"/>
    <row r="111" s="13" customFormat="1" ht="15.75" customHeight="1"/>
    <row r="112" s="13" customFormat="1" ht="15.75" customHeight="1"/>
    <row r="113" s="13" customFormat="1" ht="15.75" customHeight="1"/>
    <row r="114" s="13" customFormat="1" ht="15.75" customHeight="1"/>
    <row r="115" s="13" customFormat="1" ht="15.75" customHeight="1"/>
    <row r="116" s="13" customFormat="1" ht="15.75" customHeight="1"/>
    <row r="117" s="13" customFormat="1" ht="15.75" customHeight="1"/>
    <row r="118" s="13" customFormat="1" ht="15.75" customHeight="1"/>
    <row r="119" s="13" customFormat="1" ht="15.75" customHeight="1"/>
    <row r="120" s="13" customFormat="1" ht="15.75" customHeight="1"/>
    <row r="121" s="13" customFormat="1" ht="15.75" customHeight="1"/>
    <row r="122" s="13" customFormat="1" ht="15.75" customHeight="1"/>
    <row r="123" s="13" customFormat="1" ht="15.75" customHeight="1"/>
    <row r="124" s="13" customFormat="1" ht="15.75" customHeight="1"/>
    <row r="125" s="13" customFormat="1" ht="15.75" customHeight="1"/>
    <row r="126" s="13" customFormat="1" ht="15.75" customHeight="1"/>
    <row r="127" s="13" customFormat="1" ht="15.75" customHeight="1"/>
    <row r="128" s="13" customFormat="1" ht="15.75" customHeight="1"/>
    <row r="129" s="13" customFormat="1" ht="15.75" customHeight="1"/>
    <row r="130" s="13" customFormat="1" ht="15.75" customHeight="1"/>
    <row r="131" s="13" customFormat="1" ht="15.75" customHeight="1"/>
    <row r="132" s="13" customFormat="1" ht="15.75" customHeight="1"/>
    <row r="133" s="13" customFormat="1" ht="15.75" customHeight="1"/>
    <row r="134" s="13" customFormat="1" ht="15.75" customHeight="1"/>
    <row r="135" s="13" customFormat="1" ht="15.75" customHeight="1"/>
    <row r="136" s="13" customFormat="1" ht="15.75" customHeight="1"/>
    <row r="137" s="13" customFormat="1" ht="15.75" customHeight="1"/>
    <row r="138" s="13" customFormat="1" ht="15.75" customHeight="1"/>
    <row r="139" s="13" customFormat="1" ht="15.75" customHeight="1"/>
    <row r="140" s="13" customFormat="1" ht="15.75" customHeight="1"/>
    <row r="141" s="13" customFormat="1" ht="15.75" customHeight="1"/>
    <row r="142" s="13" customFormat="1" ht="15.75" customHeight="1"/>
    <row r="143" s="13" customFormat="1" ht="15.75" customHeight="1"/>
    <row r="144" s="13" customFormat="1" ht="15.75" customHeight="1"/>
    <row r="145" s="13" customFormat="1" ht="15.75" customHeight="1"/>
    <row r="146" s="13" customFormat="1" ht="15.75" customHeight="1"/>
    <row r="147" s="13" customFormat="1" ht="15.75" customHeight="1"/>
    <row r="148" s="13" customFormat="1" ht="15.75" customHeight="1"/>
    <row r="149" s="13" customFormat="1" ht="15.75" customHeight="1"/>
    <row r="150" s="13" customFormat="1" ht="15.75" customHeight="1"/>
    <row r="151" s="13" customFormat="1" ht="15.75" customHeight="1"/>
    <row r="152" s="13" customFormat="1" ht="15.75" customHeight="1"/>
    <row r="153" s="13" customFormat="1" ht="15.75" customHeight="1"/>
    <row r="154" s="13" customFormat="1" ht="15.75" customHeight="1"/>
    <row r="155" s="13" customFormat="1" ht="15.75" customHeight="1"/>
    <row r="156" s="13" customFormat="1" ht="15.75" customHeight="1"/>
    <row r="157" s="13" customFormat="1" ht="15.75" customHeight="1"/>
    <row r="158" s="13" customFormat="1" ht="15.75" customHeight="1"/>
    <row r="159" s="13" customFormat="1" ht="15.75" customHeight="1"/>
    <row r="160" s="13" customFormat="1" ht="15.75" customHeight="1"/>
    <row r="161" s="13" customFormat="1" ht="15.75" customHeight="1"/>
    <row r="162" s="13" customFormat="1" ht="15.75" customHeight="1"/>
    <row r="163" s="13" customFormat="1" ht="15.75" customHeight="1"/>
    <row r="164" s="13" customFormat="1" ht="15.75" customHeight="1"/>
    <row r="165" s="13" customFormat="1" ht="15.75" customHeight="1"/>
    <row r="166" s="13" customFormat="1" ht="15.75" customHeight="1"/>
    <row r="167" s="13" customFormat="1" ht="15.75" customHeight="1"/>
    <row r="168" s="13" customFormat="1" ht="15.75" customHeight="1"/>
    <row r="169" s="13" customFormat="1" ht="15.75" customHeight="1"/>
    <row r="170" s="13" customFormat="1" ht="15.75" customHeight="1"/>
    <row r="171" s="13" customFormat="1" ht="15.75" customHeight="1"/>
    <row r="172" s="13" customFormat="1" ht="15.75" customHeight="1"/>
    <row r="173" s="13" customFormat="1" ht="15.75" customHeight="1"/>
    <row r="174" s="13" customFormat="1" ht="15.75" customHeight="1"/>
    <row r="175" s="13" customFormat="1" ht="15.75" customHeight="1"/>
    <row r="176" s="13" customFormat="1" ht="15.75" customHeight="1"/>
    <row r="177" s="13" customFormat="1" ht="15.75" customHeight="1"/>
    <row r="178" s="13" customFormat="1" ht="15.75" customHeight="1"/>
    <row r="179" s="13" customFormat="1" ht="15.75" customHeight="1"/>
    <row r="180" s="13" customFormat="1" ht="15.75" customHeight="1"/>
    <row r="181" s="13" customFormat="1" ht="15.75" customHeight="1"/>
    <row r="182" s="13" customFormat="1" ht="15.75" customHeight="1"/>
    <row r="183" s="13" customFormat="1" ht="15.75" customHeight="1"/>
    <row r="184" s="13" customFormat="1" ht="15.75" customHeight="1"/>
    <row r="185" s="13" customFormat="1" ht="15.75" customHeight="1"/>
    <row r="186" s="13" customFormat="1" ht="15.75" customHeight="1"/>
    <row r="187" s="13" customFormat="1" ht="15.75" customHeight="1"/>
    <row r="188" s="13" customFormat="1" ht="15.75" customHeight="1"/>
    <row r="189" s="13" customFormat="1" ht="15.75" customHeight="1"/>
    <row r="190" s="13" customFormat="1" ht="15.75" customHeight="1"/>
    <row r="191" s="13" customFormat="1" ht="15.75" customHeight="1"/>
    <row r="192" s="13" customFormat="1" ht="15.75" customHeight="1"/>
    <row r="193" s="13" customFormat="1" ht="15.75" customHeight="1"/>
    <row r="194" s="13" customFormat="1" ht="15.75" customHeight="1"/>
    <row r="195" s="13" customFormat="1" ht="15.75" customHeight="1"/>
    <row r="196" s="13" customFormat="1" ht="15.75" customHeight="1"/>
    <row r="197" s="13" customFormat="1" ht="15.75" customHeight="1"/>
    <row r="198" s="13" customFormat="1" ht="15.75" customHeight="1"/>
    <row r="199" s="13" customFormat="1" ht="15.75" customHeight="1"/>
    <row r="200" s="13" customFormat="1" ht="15.75" customHeight="1"/>
    <row r="201" s="13" customFormat="1" ht="15.75" customHeight="1"/>
    <row r="202" s="13" customFormat="1" ht="15.75" customHeight="1"/>
    <row r="203" s="13" customFormat="1" ht="15.75" customHeight="1"/>
    <row r="204" s="13" customFormat="1" ht="15.75" customHeight="1"/>
    <row r="205" s="13" customFormat="1" ht="15.75" customHeight="1"/>
    <row r="206" s="13" customFormat="1" ht="15.75" customHeight="1"/>
    <row r="207" s="13" customFormat="1" ht="15.75" customHeight="1"/>
    <row r="208" s="13" customFormat="1" ht="15.75" customHeight="1"/>
    <row r="209" s="13" customFormat="1" ht="15.75" customHeight="1"/>
    <row r="210" s="13" customFormat="1" ht="15.75" customHeight="1"/>
    <row r="211" s="13" customFormat="1" ht="15.75" customHeight="1"/>
    <row r="212" s="13" customFormat="1" ht="15.75" customHeight="1"/>
    <row r="213" s="13" customFormat="1" ht="15.75" customHeight="1"/>
    <row r="214" s="13" customFormat="1" ht="15.75" customHeight="1"/>
    <row r="215" s="13" customFormat="1" ht="15.75" customHeight="1"/>
    <row r="216" s="13" customFormat="1" ht="15.75" customHeight="1"/>
    <row r="217" s="13" customFormat="1" ht="15.75" customHeight="1"/>
    <row r="218" s="13" customFormat="1" ht="15.75" customHeight="1"/>
    <row r="219" s="13" customFormat="1" ht="15.75" customHeight="1"/>
    <row r="220" s="13" customFormat="1" ht="15.75" customHeight="1"/>
    <row r="221" s="13" customFormat="1" ht="15.75" customHeight="1"/>
    <row r="222" s="13" customFormat="1" ht="15.75" customHeight="1"/>
    <row r="223" s="13" customFormat="1" ht="15.75" customHeight="1"/>
    <row r="224" s="13" customFormat="1" ht="15.75" customHeight="1"/>
    <row r="225" s="13" customFormat="1" ht="15.75" customHeight="1"/>
    <row r="226" s="13" customFormat="1" ht="15.75" customHeight="1"/>
    <row r="227" s="13" customFormat="1" ht="15.75" customHeight="1"/>
    <row r="228" s="13" customFormat="1" ht="15.75" customHeight="1"/>
    <row r="229" s="13" customFormat="1" ht="15.75" customHeight="1"/>
    <row r="230" s="13" customFormat="1" ht="15.75" customHeight="1"/>
    <row r="231" s="13" customFormat="1" ht="15.75" customHeight="1"/>
    <row r="232" s="13" customFormat="1" ht="15.75" customHeight="1"/>
    <row r="233" s="13" customFormat="1" ht="15.75" customHeight="1"/>
    <row r="234" s="13" customFormat="1" ht="15.75" customHeight="1"/>
    <row r="235" s="13" customFormat="1" ht="15.75" customHeight="1"/>
    <row r="236" s="13" customFormat="1" ht="15.75" customHeight="1"/>
    <row r="237" s="13" customFormat="1" ht="15.75" customHeight="1"/>
    <row r="238" s="13" customFormat="1" ht="15.75" customHeight="1"/>
    <row r="239" s="13" customFormat="1" ht="15.75" customHeight="1"/>
    <row r="240" s="13" customFormat="1" ht="15.75" customHeight="1"/>
    <row r="241" s="13" customFormat="1" ht="15.75" customHeight="1"/>
    <row r="242" s="13" customFormat="1" ht="15.75" customHeight="1"/>
    <row r="243" s="13" customFormat="1" ht="15.75" customHeight="1"/>
    <row r="244" s="13" customFormat="1" ht="15.75" customHeight="1"/>
    <row r="245" s="13" customFormat="1" ht="15.75" customHeight="1"/>
    <row r="246" s="13" customFormat="1" ht="15.75" customHeight="1"/>
    <row r="247" s="13" customFormat="1" ht="15.75" customHeight="1"/>
    <row r="248" s="13" customFormat="1" ht="15.75" customHeight="1"/>
    <row r="249" s="13" customFormat="1" ht="15.75" customHeight="1"/>
    <row r="250" s="13" customFormat="1" ht="15.75" customHeight="1"/>
    <row r="251" s="13" customFormat="1" ht="15.75" customHeight="1"/>
    <row r="252" s="13" customFormat="1" ht="15.75" customHeight="1"/>
    <row r="253" s="13" customFormat="1" ht="15.75" customHeight="1"/>
    <row r="254" s="13" customFormat="1" ht="15.75" customHeight="1"/>
    <row r="255" s="13" customFormat="1" ht="15.75" customHeight="1"/>
    <row r="256" s="13" customFormat="1" ht="15.75" customHeight="1"/>
    <row r="257" s="13" customFormat="1" ht="15.75" customHeight="1"/>
    <row r="258" s="13" customFormat="1" ht="15.75" customHeight="1"/>
    <row r="259" s="13" customFormat="1" ht="15.75" customHeight="1"/>
    <row r="260" s="13" customFormat="1" ht="15.75" customHeight="1"/>
    <row r="261" s="13" customFormat="1" ht="15.75" customHeight="1"/>
    <row r="262" s="13" customFormat="1" ht="15.75" customHeight="1"/>
    <row r="263" s="13" customFormat="1" ht="15.75" customHeight="1"/>
    <row r="264" s="13" customFormat="1" ht="15.75" customHeight="1"/>
    <row r="265" s="13" customFormat="1" ht="15.75" customHeight="1"/>
    <row r="266" s="13" customFormat="1" ht="15.75" customHeight="1"/>
    <row r="267" s="13" customFormat="1" ht="15.75" customHeight="1"/>
    <row r="268" s="13" customFormat="1" ht="15.75" customHeight="1"/>
    <row r="269" s="13" customFormat="1" ht="15.75" customHeight="1"/>
    <row r="270" s="13" customFormat="1" ht="15.75" customHeight="1"/>
    <row r="271" s="13" customFormat="1" ht="15.75" customHeight="1"/>
    <row r="272" s="13" customFormat="1" ht="15.75" customHeight="1"/>
    <row r="273" s="13" customFormat="1" ht="15.75" customHeight="1"/>
    <row r="274" s="13" customFormat="1" ht="15.75" customHeight="1"/>
    <row r="275" s="13" customFormat="1" ht="15.75" customHeight="1"/>
    <row r="276" s="13" customFormat="1" ht="15.75" customHeight="1"/>
    <row r="277" s="13" customFormat="1" ht="15.75" customHeight="1"/>
    <row r="278" s="13" customFormat="1" ht="15.75" customHeight="1"/>
    <row r="279" s="13" customFormat="1" ht="15.75" customHeight="1"/>
    <row r="280" s="13" customFormat="1" ht="15.75" customHeight="1"/>
    <row r="281" s="13" customFormat="1" ht="15.75" customHeight="1"/>
    <row r="282" s="13" customFormat="1" ht="15.75" customHeight="1"/>
    <row r="283" s="13" customFormat="1" ht="15.75" customHeight="1"/>
    <row r="284" s="13" customFormat="1" ht="15.75" customHeight="1"/>
    <row r="285" s="13" customFormat="1" ht="15.75" customHeight="1"/>
    <row r="286" s="13" customFormat="1" ht="15.75" customHeight="1"/>
    <row r="287" s="13" customFormat="1" ht="15.75" customHeight="1"/>
    <row r="288" s="13" customFormat="1" ht="15.75" customHeight="1"/>
    <row r="289" s="13" customFormat="1" ht="15.75" customHeight="1"/>
    <row r="290" s="13" customFormat="1" ht="15.75" customHeight="1"/>
    <row r="291" s="13" customFormat="1" ht="15.75" customHeight="1"/>
    <row r="292" s="13" customFormat="1" ht="15.75" customHeight="1"/>
    <row r="293" s="13" customFormat="1" ht="15.75" customHeight="1"/>
    <row r="294" s="13" customFormat="1" ht="15.75" customHeight="1"/>
    <row r="295" s="13" customFormat="1" ht="15.75" customHeight="1"/>
    <row r="296" s="13" customFormat="1" ht="15.75" customHeight="1"/>
    <row r="297" s="13" customFormat="1" ht="15.75" customHeight="1"/>
    <row r="298" s="13" customFormat="1" ht="15.75" customHeight="1"/>
    <row r="299" s="13" customFormat="1" ht="15.75" customHeight="1"/>
    <row r="300" s="13" customFormat="1" ht="15.75" customHeight="1"/>
    <row r="301" s="13" customFormat="1" ht="15.75" customHeight="1"/>
    <row r="302" s="13" customFormat="1" ht="15.75" customHeight="1"/>
    <row r="303" s="13" customFormat="1" ht="15.75" customHeight="1"/>
    <row r="304" s="13" customFormat="1" ht="15.75" customHeight="1"/>
    <row r="305" s="13" customFormat="1" ht="15.75" customHeight="1"/>
    <row r="306" s="13" customFormat="1" ht="15.75" customHeight="1"/>
    <row r="307" s="13" customFormat="1" ht="15.75" customHeight="1"/>
    <row r="308" s="13" customFormat="1" ht="15.75" customHeight="1"/>
    <row r="309" s="13" customFormat="1" ht="15.75" customHeight="1"/>
    <row r="310" s="13" customFormat="1" ht="15.75" customHeight="1"/>
    <row r="311" s="13" customFormat="1" ht="15.75" customHeight="1"/>
    <row r="312" s="13" customFormat="1" ht="15.75" customHeight="1"/>
    <row r="313" s="13" customFormat="1" ht="15.75" customHeight="1"/>
    <row r="314" s="13" customFormat="1" ht="15.75" customHeight="1"/>
    <row r="315" s="13" customFormat="1" ht="15.75" customHeight="1"/>
    <row r="316" s="13" customFormat="1" ht="15.75" customHeight="1"/>
    <row r="317" s="13" customFormat="1" ht="15.75" customHeight="1"/>
    <row r="318" s="13" customFormat="1" ht="15.75" customHeight="1"/>
    <row r="319" s="13" customFormat="1" ht="15.75" customHeight="1"/>
    <row r="320" s="13" customFormat="1" ht="15.75" customHeight="1"/>
    <row r="321" s="13" customFormat="1" ht="15.75" customHeight="1"/>
    <row r="322" s="13" customFormat="1" ht="15.75" customHeight="1"/>
    <row r="323" s="13" customFormat="1" ht="15.75" customHeight="1"/>
    <row r="324" s="13" customFormat="1" ht="15.75" customHeight="1"/>
    <row r="325" s="13" customFormat="1" ht="15.75" customHeight="1"/>
    <row r="326" s="13" customFormat="1" ht="15.75" customHeight="1"/>
    <row r="327" s="13" customFormat="1" ht="15.75" customHeight="1"/>
    <row r="328" s="13" customFormat="1" ht="15.75" customHeight="1"/>
    <row r="329" s="13" customFormat="1" ht="15.75" customHeight="1"/>
    <row r="330" s="13" customFormat="1" ht="15.75" customHeight="1"/>
    <row r="331" s="13" customFormat="1" ht="15.75" customHeight="1"/>
    <row r="332" s="13" customFormat="1" ht="15.75" customHeight="1"/>
    <row r="333" s="13" customFormat="1" ht="15.75" customHeight="1"/>
    <row r="334" s="13" customFormat="1" ht="15.75" customHeight="1"/>
    <row r="335" s="13" customFormat="1" ht="15.75" customHeight="1"/>
    <row r="336" s="13" customFormat="1" ht="15.75" customHeight="1"/>
    <row r="337" s="13" customFormat="1" ht="15.75" customHeight="1"/>
    <row r="338" s="13" customFormat="1" ht="15.75" customHeight="1"/>
    <row r="339" s="13" customFormat="1" ht="15.75" customHeight="1"/>
    <row r="340" s="13" customFormat="1" ht="15.75" customHeight="1"/>
    <row r="341" s="13" customFormat="1" ht="15.75" customHeight="1"/>
    <row r="342" s="13" customFormat="1" ht="15.75" customHeight="1"/>
    <row r="343" s="13" customFormat="1" ht="15.75" customHeight="1"/>
    <row r="344" s="13" customFormat="1" ht="15.75" customHeight="1"/>
    <row r="345" s="13" customFormat="1" ht="15.75" customHeight="1"/>
    <row r="346" s="13" customFormat="1" ht="15.75" customHeight="1"/>
    <row r="347" s="13" customFormat="1" ht="15.75" customHeight="1"/>
    <row r="348" s="13" customFormat="1" ht="15.75" customHeight="1"/>
    <row r="349" s="13" customFormat="1" ht="15.75" customHeight="1"/>
    <row r="350" s="13" customFormat="1" ht="15.75" customHeight="1"/>
    <row r="351" s="13" customFormat="1" ht="15.75" customHeight="1"/>
    <row r="352" s="13" customFormat="1" ht="15.75" customHeight="1"/>
    <row r="353" s="13" customFormat="1" ht="15.75" customHeight="1"/>
    <row r="354" s="13" customFormat="1" ht="15.75" customHeight="1"/>
    <row r="355" s="13" customFormat="1" ht="15.75" customHeight="1"/>
    <row r="356" s="13" customFormat="1" ht="15.75" customHeight="1"/>
    <row r="357" s="13" customFormat="1" ht="15.75" customHeight="1"/>
    <row r="358" s="13" customFormat="1" ht="15.75" customHeight="1"/>
    <row r="359" s="13" customFormat="1" ht="15.75" customHeight="1"/>
    <row r="360" s="13" customFormat="1" ht="15.75" customHeight="1"/>
    <row r="361" s="13" customFormat="1" ht="15.75" customHeight="1"/>
    <row r="362" s="13" customFormat="1" ht="15.75" customHeight="1"/>
    <row r="363" s="13" customFormat="1" ht="15.75" customHeight="1"/>
    <row r="364" s="13" customFormat="1" ht="15.75" customHeight="1"/>
    <row r="365" s="13" customFormat="1" ht="15.75" customHeight="1"/>
    <row r="366" s="13" customFormat="1" ht="15.75" customHeight="1"/>
    <row r="367" s="13" customFormat="1" ht="15.75" customHeight="1"/>
    <row r="368" s="13" customFormat="1" ht="15.75" customHeight="1"/>
    <row r="369" s="13" customFormat="1" ht="15.75" customHeight="1"/>
    <row r="370" s="13" customFormat="1" ht="15.75" customHeight="1"/>
    <row r="371" s="13" customFormat="1" ht="15.75" customHeight="1"/>
    <row r="372" s="13" customFormat="1" ht="15.75" customHeight="1"/>
    <row r="373" s="13" customFormat="1" ht="15.75" customHeight="1"/>
    <row r="374" s="13" customFormat="1" ht="15.75" customHeight="1"/>
    <row r="375" s="13" customFormat="1" ht="15.75" customHeight="1"/>
    <row r="376" s="13" customFormat="1" ht="15.75" customHeight="1"/>
    <row r="377" s="13" customFormat="1" ht="15.75" customHeight="1"/>
    <row r="378" s="13" customFormat="1" ht="15.75" customHeight="1"/>
    <row r="379" s="13" customFormat="1" ht="15.75" customHeight="1"/>
    <row r="380" s="13" customFormat="1" ht="15.75" customHeight="1"/>
    <row r="381" s="13" customFormat="1" ht="15.75" customHeight="1"/>
    <row r="382" s="13" customFormat="1" ht="15.75" customHeight="1"/>
    <row r="383" s="13" customFormat="1" ht="15.75" customHeight="1"/>
    <row r="384" s="13" customFormat="1" ht="15.75" customHeight="1"/>
    <row r="385" s="13" customFormat="1" ht="15.75" customHeight="1"/>
    <row r="386" s="13" customFormat="1" ht="15.75" customHeight="1"/>
    <row r="387" s="13" customFormat="1" ht="15.75" customHeight="1"/>
    <row r="388" s="13" customFormat="1" ht="15.75" customHeight="1"/>
    <row r="389" s="13" customFormat="1" ht="15.75" customHeight="1"/>
    <row r="390" s="13" customFormat="1" ht="15.75" customHeight="1"/>
    <row r="391" s="13" customFormat="1" ht="15.75" customHeight="1"/>
    <row r="392" s="13" customFormat="1" ht="15.75" customHeight="1"/>
    <row r="393" s="13" customFormat="1" ht="15.75" customHeight="1"/>
    <row r="394" s="13" customFormat="1" ht="15.75" customHeight="1"/>
    <row r="395" s="13" customFormat="1" ht="15.75" customHeight="1"/>
    <row r="396" s="13" customFormat="1" ht="15.75" customHeight="1"/>
    <row r="397" s="13" customFormat="1" ht="15.75" customHeight="1"/>
    <row r="398" s="13" customFormat="1" ht="15.75" customHeight="1"/>
    <row r="399" s="13" customFormat="1" ht="15.75" customHeight="1"/>
    <row r="400" s="13" customFormat="1" ht="15.75" customHeight="1"/>
    <row r="401" s="13" customFormat="1" ht="15.75" customHeight="1"/>
    <row r="402" s="13" customFormat="1" ht="15.75" customHeight="1"/>
    <row r="403" s="13" customFormat="1" ht="15.75" customHeight="1"/>
    <row r="404" s="13" customFormat="1" ht="15.75" customHeight="1"/>
    <row r="405" s="13" customFormat="1" ht="15.75" customHeight="1"/>
    <row r="406" s="13" customFormat="1" ht="15.75" customHeight="1"/>
    <row r="407" s="13" customFormat="1" ht="15.75" customHeight="1"/>
    <row r="408" s="13" customFormat="1" ht="15.75" customHeight="1"/>
    <row r="409" s="13" customFormat="1" ht="15.75" customHeight="1"/>
    <row r="410" s="13" customFormat="1" ht="15.75" customHeight="1"/>
    <row r="411" s="13" customFormat="1" ht="15.75" customHeight="1"/>
    <row r="412" s="13" customFormat="1" ht="15.75" customHeight="1"/>
    <row r="413" s="13" customFormat="1" ht="15.75" customHeight="1"/>
    <row r="414" s="13" customFormat="1" ht="15.75" customHeight="1"/>
    <row r="415" s="13" customFormat="1" ht="15.75" customHeight="1"/>
    <row r="416" s="13" customFormat="1" ht="15.75" customHeight="1"/>
    <row r="417" s="13" customFormat="1" ht="15.75" customHeight="1"/>
    <row r="418" s="13" customFormat="1" ht="15.75" customHeight="1"/>
    <row r="419" s="13" customFormat="1" ht="15.75" customHeight="1"/>
    <row r="420" s="13" customFormat="1" ht="15.75" customHeight="1"/>
    <row r="421" s="13" customFormat="1" ht="15.75" customHeight="1"/>
    <row r="422" s="13" customFormat="1" ht="15.75" customHeight="1"/>
    <row r="423" s="13" customFormat="1" ht="15.75" customHeight="1"/>
    <row r="424" s="13" customFormat="1" ht="15.75" customHeight="1"/>
    <row r="425" s="13" customFormat="1" ht="15.75" customHeight="1"/>
    <row r="426" s="13" customFormat="1" ht="15.75" customHeight="1"/>
    <row r="427" s="13" customFormat="1" ht="15.75" customHeight="1"/>
    <row r="428" s="13" customFormat="1" ht="15.75" customHeight="1"/>
    <row r="429" s="13" customFormat="1" ht="15.75" customHeight="1"/>
    <row r="430" s="13" customFormat="1" ht="15.75" customHeight="1"/>
    <row r="431" s="13" customFormat="1" ht="15.75" customHeight="1"/>
    <row r="432" s="13" customFormat="1" ht="15.75" customHeight="1"/>
    <row r="433" s="13" customFormat="1" ht="15.75" customHeight="1"/>
    <row r="434" s="13" customFormat="1" ht="15.75" customHeight="1"/>
    <row r="435" s="13" customFormat="1" ht="15.75" customHeight="1"/>
    <row r="436" s="13" customFormat="1" ht="15.75" customHeight="1"/>
    <row r="437" s="13" customFormat="1" ht="15.75" customHeight="1"/>
    <row r="438" s="13" customFormat="1" ht="15.75" customHeight="1"/>
    <row r="439" s="13" customFormat="1" ht="15.75" customHeight="1"/>
    <row r="440" s="13" customFormat="1" ht="15.75" customHeight="1"/>
    <row r="441" s="13" customFormat="1" ht="15.75" customHeight="1"/>
    <row r="442" s="13" customFormat="1" ht="15.75" customHeight="1"/>
    <row r="443" s="13" customFormat="1" ht="15.75" customHeight="1"/>
    <row r="444" s="13" customFormat="1" ht="15.75" customHeight="1"/>
    <row r="445" s="13" customFormat="1" ht="15.75" customHeight="1"/>
    <row r="446" s="13" customFormat="1" ht="15.75" customHeight="1"/>
    <row r="447" s="13" customFormat="1" ht="15.75" customHeight="1"/>
    <row r="448" s="13" customFormat="1" ht="15.75" customHeight="1"/>
    <row r="449" s="13" customFormat="1" ht="15.75" customHeight="1"/>
    <row r="450" s="13" customFormat="1" ht="15.75" customHeight="1"/>
    <row r="451" s="13" customFormat="1" ht="15.75" customHeight="1"/>
    <row r="452" s="13" customFormat="1" ht="15.75" customHeight="1"/>
    <row r="453" s="13" customFormat="1" ht="15.75" customHeight="1"/>
    <row r="454" s="13" customFormat="1" ht="15.75" customHeight="1"/>
    <row r="455" s="13" customFormat="1" ht="15.75" customHeight="1"/>
    <row r="456" s="13" customFormat="1" ht="15.75" customHeight="1"/>
    <row r="457" s="13" customFormat="1" ht="15.75" customHeight="1"/>
    <row r="458" s="13" customFormat="1" ht="15.75" customHeight="1"/>
    <row r="459" s="13" customFormat="1" ht="15.75" customHeight="1"/>
    <row r="460" s="13" customFormat="1" ht="15.75" customHeight="1"/>
    <row r="461" s="13" customFormat="1" ht="15.75" customHeight="1"/>
    <row r="462" s="13" customFormat="1" ht="15.75" customHeight="1"/>
    <row r="463" s="13" customFormat="1" ht="15.75" customHeight="1"/>
    <row r="464" s="13" customFormat="1" ht="15.75" customHeight="1"/>
    <row r="465" s="13" customFormat="1" ht="15.75" customHeight="1"/>
    <row r="466" s="13" customFormat="1" ht="15.75" customHeight="1"/>
    <row r="467" s="13" customFormat="1" ht="15.75" customHeight="1"/>
    <row r="468" s="13" customFormat="1" ht="15.75" customHeight="1"/>
    <row r="469" s="13" customFormat="1" ht="15.75" customHeight="1"/>
    <row r="470" s="13" customFormat="1" ht="15.75" customHeight="1"/>
    <row r="471" s="13" customFormat="1" ht="15.75" customHeight="1"/>
    <row r="472" s="13" customFormat="1" ht="15.75" customHeight="1"/>
    <row r="473" s="13" customFormat="1" ht="15.75" customHeight="1"/>
    <row r="474" s="13" customFormat="1" ht="15.75" customHeight="1"/>
    <row r="475" s="13" customFormat="1" ht="15.75" customHeight="1"/>
    <row r="476" s="13" customFormat="1" ht="15.75" customHeight="1"/>
    <row r="477" s="13" customFormat="1" ht="15.75" customHeight="1"/>
    <row r="478" s="13" customFormat="1" ht="15.75" customHeight="1"/>
    <row r="479" s="13" customFormat="1" ht="15.75" customHeight="1"/>
    <row r="480" s="13" customFormat="1" ht="15.75" customHeight="1"/>
    <row r="481" s="13" customFormat="1" ht="15.75" customHeight="1"/>
    <row r="482" s="13" customFormat="1" ht="15.75" customHeight="1"/>
    <row r="483" s="13" customFormat="1" ht="15.75" customHeight="1"/>
    <row r="484" s="13" customFormat="1" ht="15.75" customHeight="1"/>
    <row r="485" s="13" customFormat="1" ht="15.75" customHeight="1"/>
    <row r="486" s="13" customFormat="1" ht="15.75" customHeight="1"/>
    <row r="487" s="13" customFormat="1" ht="15.75" customHeight="1"/>
    <row r="488" s="13" customFormat="1" ht="15.75" customHeight="1"/>
    <row r="489" s="13" customFormat="1" ht="15.75" customHeight="1"/>
    <row r="490" s="13" customFormat="1" ht="15.75" customHeight="1"/>
    <row r="491" s="13" customFormat="1" ht="15.75" customHeight="1"/>
    <row r="492" s="13" customFormat="1" ht="15.75" customHeight="1"/>
    <row r="493" s="13" customFormat="1" ht="15.75" customHeight="1"/>
    <row r="494" s="13" customFormat="1" ht="15.75" customHeight="1"/>
    <row r="495" s="13" customFormat="1" ht="15.75" customHeight="1"/>
    <row r="496" s="13" customFormat="1" ht="15.75" customHeight="1"/>
    <row r="497" s="13" customFormat="1" ht="15.75" customHeight="1"/>
    <row r="498" s="13" customFormat="1" ht="15.75" customHeight="1"/>
    <row r="499" s="13" customFormat="1" ht="15.75" customHeight="1"/>
    <row r="500" s="13" customFormat="1" ht="15.75" customHeight="1"/>
    <row r="501" s="13" customFormat="1" ht="15.75" customHeight="1"/>
    <row r="502" s="13" customFormat="1" ht="15.75" customHeight="1"/>
    <row r="503" s="13" customFormat="1" ht="15.75" customHeight="1"/>
    <row r="504" s="13" customFormat="1" ht="15.75" customHeight="1"/>
    <row r="505" s="13" customFormat="1" ht="15.75" customHeight="1"/>
    <row r="506" s="13" customFormat="1" ht="15.75" customHeight="1"/>
    <row r="507" s="13" customFormat="1" ht="15.75" customHeight="1"/>
    <row r="508" s="13" customFormat="1" ht="15.75" customHeight="1"/>
    <row r="509" s="13" customFormat="1" ht="15.75" customHeight="1"/>
    <row r="510" s="13" customFormat="1" ht="15.75" customHeight="1"/>
    <row r="511" s="13" customFormat="1" ht="15.75" customHeight="1"/>
    <row r="512" s="13" customFormat="1" ht="15.75" customHeight="1"/>
    <row r="513" s="13" customFormat="1" ht="15.75" customHeight="1"/>
    <row r="514" s="13" customFormat="1" ht="15.75" customHeight="1"/>
    <row r="515" s="13" customFormat="1" ht="15.75" customHeight="1"/>
    <row r="516" s="13" customFormat="1" ht="15.75" customHeight="1"/>
    <row r="517" s="13" customFormat="1" ht="15.75" customHeight="1"/>
    <row r="518" s="13" customFormat="1" ht="15.75" customHeight="1"/>
    <row r="519" s="13" customFormat="1" ht="15.75" customHeight="1"/>
    <row r="520" s="13" customFormat="1" ht="15.75" customHeight="1"/>
    <row r="521" s="13" customFormat="1" ht="15.75" customHeight="1"/>
    <row r="522" s="13" customFormat="1" ht="15.75" customHeight="1"/>
    <row r="523" s="13" customFormat="1" ht="15.75" customHeight="1"/>
    <row r="524" s="13" customFormat="1" ht="15.75" customHeight="1"/>
    <row r="525" s="13" customFormat="1" ht="15.75" customHeight="1"/>
    <row r="526" s="13" customFormat="1" ht="15.75" customHeight="1"/>
    <row r="527" s="13" customFormat="1" ht="15.75" customHeight="1"/>
    <row r="528" s="13" customFormat="1" ht="15.75" customHeight="1"/>
    <row r="529" s="13" customFormat="1" ht="15.75" customHeight="1"/>
    <row r="530" s="13" customFormat="1" ht="15.75" customHeight="1"/>
    <row r="531" s="13" customFormat="1" ht="15.75" customHeight="1"/>
    <row r="532" s="13" customFormat="1" ht="15.75" customHeight="1"/>
    <row r="533" s="13" customFormat="1" ht="15.75" customHeight="1"/>
    <row r="534" s="13" customFormat="1" ht="15.75" customHeight="1"/>
    <row r="535" s="13" customFormat="1" ht="15.75" customHeight="1"/>
    <row r="536" s="13" customFormat="1" ht="15.75" customHeight="1"/>
    <row r="537" s="13" customFormat="1" ht="15.75" customHeight="1"/>
    <row r="538" s="13" customFormat="1" ht="15.75" customHeight="1"/>
    <row r="539" s="13" customFormat="1" ht="15.75" customHeight="1"/>
    <row r="540" s="13" customFormat="1" ht="15.75" customHeight="1"/>
    <row r="541" s="13" customFormat="1" ht="15.75" customHeight="1"/>
    <row r="542" s="13" customFormat="1" ht="15.75" customHeight="1"/>
    <row r="543" s="13" customFormat="1" ht="15.75" customHeight="1"/>
    <row r="544" s="13" customFormat="1" ht="15.75" customHeight="1"/>
    <row r="545" s="13" customFormat="1" ht="15.75" customHeight="1"/>
    <row r="546" s="13" customFormat="1" ht="15.75" customHeight="1"/>
    <row r="547" s="13" customFormat="1" ht="15.75" customHeight="1"/>
    <row r="548" s="13" customFormat="1" ht="15.75" customHeight="1"/>
    <row r="549" s="13" customFormat="1" ht="15.75" customHeight="1"/>
    <row r="550" s="13" customFormat="1" ht="15.75" customHeight="1"/>
    <row r="551" s="13" customFormat="1" ht="15.75" customHeight="1"/>
    <row r="552" s="13" customFormat="1" ht="15.75" customHeight="1"/>
    <row r="553" s="13" customFormat="1" ht="15.75" customHeight="1"/>
    <row r="554" s="13" customFormat="1" ht="15.75" customHeight="1"/>
    <row r="555" s="13" customFormat="1" ht="15.75" customHeight="1"/>
    <row r="556" s="13" customFormat="1" ht="15.75" customHeight="1"/>
    <row r="557" s="13" customFormat="1" ht="15.75" customHeight="1"/>
    <row r="558" s="13" customFormat="1" ht="15.75" customHeight="1"/>
    <row r="559" s="13" customFormat="1" ht="15.75" customHeight="1"/>
    <row r="560" s="13" customFormat="1" ht="15.75" customHeight="1"/>
    <row r="561" s="13" customFormat="1" ht="15.75" customHeight="1"/>
    <row r="562" s="13" customFormat="1" ht="15.75" customHeight="1"/>
    <row r="563" s="13" customFormat="1" ht="15.75" customHeight="1"/>
    <row r="564" s="13" customFormat="1" ht="15.75" customHeight="1"/>
    <row r="565" s="13" customFormat="1" ht="15.75" customHeight="1"/>
    <row r="566" s="13" customFormat="1" ht="15.75" customHeight="1"/>
    <row r="567" s="13" customFormat="1" ht="15.75" customHeight="1"/>
    <row r="568" s="13" customFormat="1" ht="15.75" customHeight="1"/>
    <row r="569" s="13" customFormat="1" ht="15.75" customHeight="1"/>
    <row r="570" s="13" customFormat="1" ht="15.75" customHeight="1"/>
    <row r="571" s="13" customFormat="1" ht="15.75" customHeight="1"/>
    <row r="572" s="13" customFormat="1" ht="15.75" customHeight="1"/>
    <row r="573" s="13" customFormat="1" ht="15.75" customHeight="1"/>
    <row r="574" s="13" customFormat="1" ht="15.75" customHeight="1"/>
    <row r="575" s="13" customFormat="1" ht="15.75" customHeight="1"/>
    <row r="576" s="13" customFormat="1" ht="15.75" customHeight="1"/>
    <row r="577" s="13" customFormat="1" ht="15.75" customHeight="1"/>
    <row r="578" s="13" customFormat="1" ht="15.75" customHeight="1"/>
    <row r="579" s="13" customFormat="1" ht="15.75" customHeight="1"/>
    <row r="580" s="13" customFormat="1" ht="15.75" customHeight="1"/>
    <row r="581" s="13" customFormat="1" ht="15.75" customHeight="1"/>
    <row r="582" s="13" customFormat="1" ht="15.75" customHeight="1"/>
    <row r="583" s="13" customFormat="1" ht="15.75" customHeight="1"/>
    <row r="584" s="13" customFormat="1" ht="15.75" customHeight="1"/>
    <row r="585" s="13" customFormat="1" ht="15.75" customHeight="1"/>
    <row r="586" s="13" customFormat="1" ht="15.75" customHeight="1"/>
    <row r="587" s="13" customFormat="1" ht="15.75" customHeight="1"/>
    <row r="588" s="13" customFormat="1" ht="15.75" customHeight="1"/>
    <row r="589" s="13" customFormat="1" ht="15.75" customHeight="1"/>
    <row r="590" s="13" customFormat="1" ht="15.75" customHeight="1"/>
    <row r="591" s="13" customFormat="1" ht="15.75" customHeight="1"/>
    <row r="592" s="13" customFormat="1" ht="15.75" customHeight="1"/>
    <row r="593" s="13" customFormat="1" ht="15.75" customHeight="1"/>
    <row r="594" s="13" customFormat="1" ht="15.75" customHeight="1"/>
    <row r="595" s="13" customFormat="1" ht="15.75" customHeight="1"/>
    <row r="596" s="13" customFormat="1" ht="15.75" customHeight="1"/>
    <row r="597" s="13" customFormat="1" ht="15.75" customHeight="1"/>
    <row r="598" s="13" customFormat="1" ht="15.75" customHeight="1"/>
    <row r="599" s="13" customFormat="1" ht="15.75" customHeight="1"/>
    <row r="600" s="13" customFormat="1" ht="15.75" customHeight="1"/>
    <row r="601" s="13" customFormat="1" ht="15.75" customHeight="1"/>
    <row r="602" s="13" customFormat="1" ht="15.75" customHeight="1"/>
    <row r="603" s="13" customFormat="1" ht="15.75" customHeight="1"/>
    <row r="604" s="13" customFormat="1" ht="15.75" customHeight="1"/>
    <row r="605" s="13" customFormat="1" ht="15.75" customHeight="1"/>
    <row r="606" s="13" customFormat="1" ht="15.75" customHeight="1"/>
    <row r="607" s="13" customFormat="1" ht="15.75" customHeight="1"/>
    <row r="608" s="13" customFormat="1" ht="15.75" customHeight="1"/>
    <row r="609" s="13" customFormat="1" ht="15.75" customHeight="1"/>
    <row r="610" s="13" customFormat="1" ht="15.75" customHeight="1"/>
    <row r="611" s="13" customFormat="1" ht="15.75" customHeight="1"/>
    <row r="612" s="13" customFormat="1" ht="15.75" customHeight="1"/>
    <row r="613" s="13" customFormat="1" ht="15.75" customHeight="1"/>
    <row r="614" s="13" customFormat="1" ht="15.75" customHeight="1"/>
    <row r="615" s="13" customFormat="1" ht="15.75" customHeight="1"/>
    <row r="616" s="13" customFormat="1" ht="15.75" customHeight="1"/>
    <row r="617" s="13" customFormat="1" ht="15.75" customHeight="1"/>
    <row r="618" s="13" customFormat="1" ht="15.75" customHeight="1"/>
    <row r="619" s="13" customFormat="1" ht="15.75" customHeight="1"/>
    <row r="620" s="13" customFormat="1" ht="15.75" customHeight="1"/>
    <row r="621" s="13" customFormat="1" ht="15.75" customHeight="1"/>
    <row r="622" s="13" customFormat="1" ht="15.75" customHeight="1"/>
    <row r="623" s="13" customFormat="1" ht="15.75" customHeight="1"/>
    <row r="624" s="13" customFormat="1" ht="15.75" customHeight="1"/>
    <row r="625" s="13" customFormat="1" ht="15.75" customHeight="1"/>
    <row r="626" s="13" customFormat="1" ht="15.75" customHeight="1"/>
    <row r="627" s="13" customFormat="1" ht="15.75" customHeight="1"/>
    <row r="628" s="13" customFormat="1" ht="15.75" customHeight="1"/>
    <row r="629" s="13" customFormat="1" ht="15.75" customHeight="1"/>
    <row r="630" s="13" customFormat="1" ht="15.75" customHeight="1"/>
    <row r="631" s="13" customFormat="1" ht="15.75" customHeight="1"/>
    <row r="632" s="13" customFormat="1" ht="15.75" customHeight="1"/>
    <row r="633" s="13" customFormat="1" ht="15.75" customHeight="1"/>
    <row r="634" s="13" customFormat="1" ht="15.75" customHeight="1"/>
    <row r="635" s="13" customFormat="1" ht="15.75" customHeight="1"/>
    <row r="636" s="13" customFormat="1" ht="15.75" customHeight="1"/>
    <row r="637" s="13" customFormat="1" ht="15.75" customHeight="1"/>
    <row r="638" s="13" customFormat="1" ht="15.75" customHeight="1"/>
    <row r="639" s="13" customFormat="1" ht="15.75" customHeight="1"/>
    <row r="640" s="13" customFormat="1" ht="15.75" customHeight="1"/>
    <row r="641" s="13" customFormat="1" ht="15.75" customHeight="1"/>
    <row r="642" s="13" customFormat="1" ht="15.75" customHeight="1"/>
    <row r="643" s="13" customFormat="1" ht="15.75" customHeight="1"/>
    <row r="644" s="13" customFormat="1" ht="15.75" customHeight="1"/>
    <row r="645" s="13" customFormat="1" ht="15.75" customHeight="1"/>
    <row r="646" s="13" customFormat="1" ht="15.75" customHeight="1"/>
    <row r="647" s="13" customFormat="1" ht="15.75" customHeight="1"/>
    <row r="648" s="13" customFormat="1" ht="15.75" customHeight="1"/>
    <row r="649" s="13" customFormat="1" ht="15.75" customHeight="1"/>
    <row r="650" s="13" customFormat="1" ht="15.75" customHeight="1"/>
    <row r="651" s="13" customFormat="1" ht="15.75" customHeight="1"/>
    <row r="652" s="13" customFormat="1" ht="15.75" customHeight="1"/>
    <row r="653" s="13" customFormat="1" ht="15.75" customHeight="1"/>
    <row r="654" s="13" customFormat="1" ht="15.75" customHeight="1"/>
    <row r="655" s="13" customFormat="1" ht="15.75" customHeight="1"/>
    <row r="656" s="13" customFormat="1" ht="15.75" customHeight="1"/>
    <row r="657" s="13" customFormat="1" ht="15.75" customHeight="1"/>
    <row r="658" s="13" customFormat="1" ht="15.75" customHeight="1"/>
    <row r="659" s="13" customFormat="1" ht="15.75" customHeight="1"/>
    <row r="660" s="13" customFormat="1" ht="15.75" customHeight="1"/>
    <row r="661" s="13" customFormat="1" ht="15.75" customHeight="1"/>
    <row r="662" s="13" customFormat="1" ht="15.75" customHeight="1"/>
    <row r="663" s="13" customFormat="1" ht="15.75" customHeight="1"/>
    <row r="664" s="13" customFormat="1" ht="15.75" customHeight="1"/>
    <row r="665" s="13" customFormat="1" ht="15.75" customHeight="1"/>
    <row r="666" s="13" customFormat="1" ht="15.75" customHeight="1"/>
    <row r="667" s="13" customFormat="1" ht="15.75" customHeight="1"/>
    <row r="668" s="13" customFormat="1" ht="15.75" customHeight="1"/>
    <row r="669" s="13" customFormat="1" ht="15.75" customHeight="1"/>
    <row r="670" s="13" customFormat="1" ht="15.75" customHeight="1"/>
    <row r="671" s="13" customFormat="1" ht="15.75" customHeight="1"/>
    <row r="672" s="13" customFormat="1" ht="15.75" customHeight="1"/>
    <row r="673" s="13" customFormat="1" ht="15.75" customHeight="1"/>
    <row r="674" s="13" customFormat="1" ht="15.75" customHeight="1"/>
    <row r="675" s="13" customFormat="1" ht="15.75" customHeight="1"/>
    <row r="676" s="13" customFormat="1" ht="15.75" customHeight="1"/>
    <row r="677" s="13" customFormat="1" ht="15.75" customHeight="1"/>
    <row r="678" s="13" customFormat="1" ht="15.75" customHeight="1"/>
    <row r="679" s="13" customFormat="1" ht="15.75" customHeight="1"/>
    <row r="680" s="13" customFormat="1" ht="15.75" customHeight="1"/>
    <row r="681" s="13" customFormat="1" ht="15.75" customHeight="1"/>
    <row r="682" s="13" customFormat="1" ht="15.75" customHeight="1"/>
    <row r="683" s="13" customFormat="1" ht="15.75" customHeight="1"/>
    <row r="684" s="13" customFormat="1" ht="15.75" customHeight="1"/>
    <row r="685" s="13" customFormat="1" ht="15.75" customHeight="1"/>
    <row r="686" s="13" customFormat="1" ht="15.75" customHeight="1"/>
    <row r="687" s="13" customFormat="1" ht="15.75" customHeight="1"/>
    <row r="688" s="13" customFormat="1" ht="15.75" customHeight="1"/>
    <row r="689" s="13" customFormat="1" ht="15.75" customHeight="1"/>
    <row r="690" s="13" customFormat="1" ht="15.75" customHeight="1"/>
    <row r="691" s="13" customFormat="1" ht="15.75" customHeight="1"/>
    <row r="692" s="13" customFormat="1" ht="15.75" customHeight="1"/>
    <row r="693" s="13" customFormat="1" ht="15.75" customHeight="1"/>
    <row r="694" s="13" customFormat="1" ht="15.75" customHeight="1"/>
    <row r="695" s="13" customFormat="1" ht="15.75" customHeight="1"/>
    <row r="696" s="13" customFormat="1" ht="15.75" customHeight="1"/>
    <row r="697" s="13" customFormat="1" ht="15.75" customHeight="1"/>
    <row r="698" s="13" customFormat="1" ht="15.75" customHeight="1"/>
    <row r="699" s="13" customFormat="1" ht="15.75" customHeight="1"/>
    <row r="700" s="13" customFormat="1" ht="15.75" customHeight="1"/>
    <row r="701" s="13" customFormat="1" ht="15.75" customHeight="1"/>
    <row r="702" s="13" customFormat="1" ht="15.75" customHeight="1"/>
    <row r="703" s="13" customFormat="1" ht="15.75" customHeight="1"/>
    <row r="704" s="13" customFormat="1" ht="15.75" customHeight="1"/>
    <row r="705" s="13" customFormat="1" ht="15.75" customHeight="1"/>
    <row r="706" s="13" customFormat="1" ht="15.75" customHeight="1"/>
    <row r="707" s="13" customFormat="1" ht="15.75" customHeight="1"/>
    <row r="708" s="13" customFormat="1" ht="15.75" customHeight="1"/>
    <row r="709" s="13" customFormat="1" ht="15.75" customHeight="1"/>
    <row r="710" s="13" customFormat="1" ht="15.75" customHeight="1"/>
    <row r="711" s="13" customFormat="1" ht="15.75" customHeight="1"/>
    <row r="712" s="13" customFormat="1" ht="15.75" customHeight="1"/>
    <row r="713" s="13" customFormat="1" ht="15.75" customHeight="1"/>
    <row r="714" s="13" customFormat="1" ht="15.75" customHeight="1"/>
    <row r="715" s="13" customFormat="1" ht="15.75" customHeight="1"/>
    <row r="716" s="13" customFormat="1" ht="15.75" customHeight="1"/>
    <row r="717" s="13" customFormat="1" ht="15.75" customHeight="1"/>
    <row r="718" s="13" customFormat="1" ht="15.75" customHeight="1"/>
    <row r="719" s="13" customFormat="1" ht="15.75" customHeight="1"/>
    <row r="720" s="13" customFormat="1" ht="15.75" customHeight="1"/>
    <row r="721" s="13" customFormat="1" ht="15.75" customHeight="1"/>
    <row r="722" s="13" customFormat="1" ht="15.75" customHeight="1"/>
    <row r="723" s="13" customFormat="1" ht="15.75" customHeight="1"/>
    <row r="724" s="13" customFormat="1" ht="15.75" customHeight="1"/>
    <row r="725" s="13" customFormat="1" ht="15.75" customHeight="1"/>
    <row r="726" s="13" customFormat="1" ht="15.75" customHeight="1"/>
    <row r="727" s="13" customFormat="1" ht="15.75" customHeight="1"/>
    <row r="728" s="13" customFormat="1" ht="15.75" customHeight="1"/>
    <row r="729" s="13" customFormat="1" ht="15.75" customHeight="1"/>
    <row r="730" s="13" customFormat="1" ht="15.75" customHeight="1"/>
    <row r="731" s="13" customFormat="1" ht="15.75" customHeight="1"/>
    <row r="732" s="13" customFormat="1" ht="15.75" customHeight="1"/>
    <row r="733" s="13" customFormat="1" ht="15.75" customHeight="1"/>
    <row r="734" s="13" customFormat="1" ht="15.75" customHeight="1"/>
    <row r="735" s="13" customFormat="1" ht="15.75" customHeight="1"/>
    <row r="736" s="13" customFormat="1" ht="15.75" customHeight="1"/>
    <row r="737" s="13" customFormat="1" ht="15.75" customHeight="1"/>
    <row r="738" s="13" customFormat="1" ht="15.75" customHeight="1"/>
    <row r="739" s="13" customFormat="1" ht="15.75" customHeight="1"/>
    <row r="740" s="13" customFormat="1" ht="15.75" customHeight="1"/>
    <row r="741" s="13" customFormat="1" ht="15.75" customHeight="1"/>
    <row r="742" s="13" customFormat="1" ht="15.75" customHeight="1"/>
    <row r="743" s="13" customFormat="1" ht="15.75" customHeight="1"/>
    <row r="744" s="13" customFormat="1" ht="15.75" customHeight="1"/>
    <row r="745" s="13" customFormat="1" ht="15.75" customHeight="1"/>
    <row r="746" s="13" customFormat="1" ht="15.75" customHeight="1"/>
    <row r="747" s="13" customFormat="1" ht="15.75" customHeight="1"/>
    <row r="748" s="13" customFormat="1" ht="15.75" customHeight="1"/>
    <row r="749" s="13" customFormat="1" ht="15.75" customHeight="1"/>
    <row r="750" s="13" customFormat="1" ht="15.75" customHeight="1"/>
    <row r="751" s="13" customFormat="1" ht="15.75" customHeight="1"/>
    <row r="752" s="13" customFormat="1" ht="15.75" customHeight="1"/>
    <row r="753" s="13" customFormat="1" ht="15.75" customHeight="1"/>
    <row r="754" s="13" customFormat="1" ht="15.75" customHeight="1"/>
    <row r="755" s="13" customFormat="1" ht="15.75" customHeight="1"/>
    <row r="756" s="13" customFormat="1" ht="15.75" customHeight="1"/>
    <row r="757" s="13" customFormat="1" ht="15.75" customHeight="1"/>
    <row r="758" s="13" customFormat="1" ht="15.75" customHeight="1"/>
    <row r="759" s="13" customFormat="1" ht="15.75" customHeight="1"/>
    <row r="760" s="13" customFormat="1" ht="15.75" customHeight="1"/>
    <row r="761" s="13" customFormat="1" ht="15.75" customHeight="1"/>
    <row r="762" s="13" customFormat="1" ht="15.75" customHeight="1"/>
    <row r="763" s="13" customFormat="1" ht="15.75" customHeight="1"/>
    <row r="764" s="13" customFormat="1" ht="15.75" customHeight="1"/>
    <row r="765" s="13" customFormat="1" ht="15.75" customHeight="1"/>
    <row r="766" s="13" customFormat="1" ht="15.75" customHeight="1"/>
    <row r="767" s="13" customFormat="1" ht="15.75" customHeight="1"/>
    <row r="768" s="13" customFormat="1" ht="15.75" customHeight="1"/>
    <row r="769" s="13" customFormat="1" ht="15.75" customHeight="1"/>
    <row r="770" s="13" customFormat="1" ht="15.75" customHeight="1"/>
    <row r="771" s="13" customFormat="1" ht="15.75" customHeight="1"/>
    <row r="772" s="13" customFormat="1" ht="15.75" customHeight="1"/>
    <row r="773" s="13" customFormat="1" ht="15.75" customHeight="1"/>
    <row r="774" s="13" customFormat="1" ht="15.75" customHeight="1"/>
    <row r="775" s="13" customFormat="1" ht="15.75" customHeight="1"/>
    <row r="776" s="13" customFormat="1" ht="15.75" customHeight="1"/>
    <row r="777" s="13" customFormat="1" ht="15.75" customHeight="1"/>
    <row r="778" s="13" customFormat="1" ht="15.75" customHeight="1"/>
    <row r="779" s="13" customFormat="1" ht="15.75" customHeight="1"/>
    <row r="780" s="13" customFormat="1" ht="15.75" customHeight="1"/>
    <row r="781" s="13" customFormat="1" ht="15.75" customHeight="1"/>
    <row r="782" s="13" customFormat="1" ht="15.75" customHeight="1"/>
    <row r="783" s="13" customFormat="1" ht="15.75" customHeight="1"/>
    <row r="784" s="13" customFormat="1" ht="15.75" customHeight="1"/>
    <row r="785" s="13" customFormat="1" ht="15.75" customHeight="1"/>
    <row r="786" s="13" customFormat="1" ht="15.75" customHeight="1"/>
    <row r="787" s="13" customFormat="1" ht="15.75" customHeight="1"/>
    <row r="788" s="13" customFormat="1" ht="15.75" customHeight="1"/>
    <row r="789" s="13" customFormat="1" ht="15.75" customHeight="1"/>
    <row r="790" s="13" customFormat="1" ht="15.75" customHeight="1"/>
    <row r="791" s="13" customFormat="1" ht="15.75" customHeight="1"/>
    <row r="792" s="13" customFormat="1" ht="15.75" customHeight="1"/>
    <row r="793" s="13" customFormat="1" ht="15.75" customHeight="1"/>
    <row r="794" s="13" customFormat="1" ht="15.75" customHeight="1"/>
    <row r="795" s="13" customFormat="1" ht="15.75" customHeight="1"/>
    <row r="796" s="13" customFormat="1" ht="15.75" customHeight="1"/>
    <row r="797" s="13" customFormat="1" ht="15.75" customHeight="1"/>
    <row r="798" s="13" customFormat="1" ht="15.75" customHeight="1"/>
    <row r="799" s="13" customFormat="1" ht="15.75" customHeight="1"/>
    <row r="800" s="13" customFormat="1" ht="15.75" customHeight="1"/>
    <row r="801" s="13" customFormat="1" ht="15.75" customHeight="1"/>
    <row r="802" s="13" customFormat="1" ht="15.75" customHeight="1"/>
    <row r="803" s="13" customFormat="1" ht="15.75" customHeight="1"/>
    <row r="804" s="13" customFormat="1" ht="15.75" customHeight="1"/>
    <row r="805" s="13" customFormat="1" ht="15.75" customHeight="1"/>
    <row r="806" s="13" customFormat="1" ht="15.75" customHeight="1"/>
    <row r="807" s="13" customFormat="1" ht="15.75" customHeight="1"/>
    <row r="808" s="13" customFormat="1" ht="15.75" customHeight="1"/>
    <row r="809" s="13" customFormat="1" ht="15.75" customHeight="1"/>
    <row r="810" s="13" customFormat="1" ht="15.75" customHeight="1"/>
    <row r="811" s="13" customFormat="1" ht="15.75" customHeight="1"/>
    <row r="812" s="13" customFormat="1" ht="15.75" customHeight="1"/>
    <row r="813" s="13" customFormat="1" ht="15.75" customHeight="1"/>
    <row r="814" s="13" customFormat="1" ht="15.75" customHeight="1"/>
    <row r="815" s="13" customFormat="1" ht="15.75" customHeight="1"/>
    <row r="816" s="13" customFormat="1" ht="15.75" customHeight="1"/>
    <row r="817" s="13" customFormat="1" ht="15.75" customHeight="1"/>
    <row r="818" s="13" customFormat="1" ht="15.75" customHeight="1"/>
    <row r="819" s="13" customFormat="1" ht="15.75" customHeight="1"/>
    <row r="820" s="13" customFormat="1" ht="15.75" customHeight="1"/>
    <row r="821" s="13" customFormat="1" ht="15.75" customHeight="1"/>
    <row r="822" s="13" customFormat="1" ht="15.75" customHeight="1"/>
    <row r="823" s="13" customFormat="1" ht="15.75" customHeight="1"/>
    <row r="824" s="13" customFormat="1" ht="15.75" customHeight="1"/>
    <row r="825" s="13" customFormat="1" ht="15.75" customHeight="1"/>
    <row r="826" s="13" customFormat="1" ht="15.75" customHeight="1"/>
    <row r="827" s="13" customFormat="1" ht="15.75" customHeight="1"/>
    <row r="828" s="13" customFormat="1" ht="15.75" customHeight="1"/>
    <row r="829" s="13" customFormat="1" ht="15.75" customHeight="1"/>
    <row r="830" s="13" customFormat="1" ht="15.75" customHeight="1"/>
    <row r="831" s="13" customFormat="1" ht="15.75" customHeight="1"/>
    <row r="832" s="13" customFormat="1" ht="15.75" customHeight="1"/>
    <row r="833" s="13" customFormat="1" ht="15.75" customHeight="1"/>
    <row r="834" s="13" customFormat="1" ht="15.75" customHeight="1"/>
    <row r="835" s="13" customFormat="1" ht="15.75" customHeight="1"/>
    <row r="836" s="13" customFormat="1" ht="15.75" customHeight="1"/>
    <row r="837" s="13" customFormat="1" ht="15.75" customHeight="1"/>
    <row r="838" s="13" customFormat="1" ht="15.75" customHeight="1"/>
    <row r="839" s="13" customFormat="1" ht="15.75" customHeight="1"/>
    <row r="840" s="13" customFormat="1" ht="15.75" customHeight="1"/>
    <row r="841" s="13" customFormat="1" ht="15.75" customHeight="1"/>
    <row r="842" s="13" customFormat="1" ht="15.75" customHeight="1"/>
    <row r="843" s="13" customFormat="1" ht="15.75" customHeight="1"/>
    <row r="844" s="13" customFormat="1" ht="15.75" customHeight="1"/>
    <row r="845" s="13" customFormat="1" ht="15.75" customHeight="1"/>
    <row r="846" s="13" customFormat="1" ht="15.75" customHeight="1"/>
    <row r="847" s="13" customFormat="1" ht="15.75" customHeight="1"/>
    <row r="848" s="13" customFormat="1" ht="15.75" customHeight="1"/>
    <row r="849" s="13" customFormat="1" ht="15.75" customHeight="1"/>
    <row r="850" s="13" customFormat="1" ht="15.75" customHeight="1"/>
    <row r="851" s="13" customFormat="1" ht="15.75" customHeight="1"/>
    <row r="852" s="13" customFormat="1" ht="15.75" customHeight="1"/>
    <row r="853" s="13" customFormat="1" ht="15.75" customHeight="1"/>
    <row r="854" s="13" customFormat="1" ht="15.75" customHeight="1"/>
    <row r="855" s="13" customFormat="1" ht="15.75" customHeight="1"/>
    <row r="856" s="13" customFormat="1" ht="15.75" customHeight="1"/>
    <row r="857" s="13" customFormat="1" ht="15.75" customHeight="1"/>
    <row r="858" s="13" customFormat="1" ht="15.75" customHeight="1"/>
    <row r="859" s="13" customFormat="1" ht="15.75" customHeight="1"/>
    <row r="860" s="13" customFormat="1" ht="15.75" customHeight="1"/>
    <row r="861" s="13" customFormat="1" ht="15.75" customHeight="1"/>
    <row r="862" s="13" customFormat="1" ht="15.75" customHeight="1"/>
    <row r="863" s="13" customFormat="1" ht="15.75" customHeight="1"/>
    <row r="864" s="13" customFormat="1" ht="15.75" customHeight="1"/>
    <row r="865" s="13" customFormat="1" ht="15.75" customHeight="1"/>
    <row r="866" s="13" customFormat="1" ht="15.75" customHeight="1"/>
    <row r="867" s="13" customFormat="1" ht="15.75" customHeight="1"/>
    <row r="868" s="13" customFormat="1" ht="15.75" customHeight="1"/>
    <row r="869" s="13" customFormat="1" ht="15.75" customHeight="1"/>
    <row r="870" s="13" customFormat="1" ht="15.75" customHeight="1"/>
    <row r="871" s="13" customFormat="1" ht="15.75" customHeight="1"/>
    <row r="872" s="13" customFormat="1" ht="15.75" customHeight="1"/>
    <row r="873" s="13" customFormat="1" ht="15.75" customHeight="1"/>
    <row r="874" s="13" customFormat="1" ht="15.75" customHeight="1"/>
    <row r="875" s="13" customFormat="1" ht="15.75" customHeight="1"/>
    <row r="876" s="13" customFormat="1" ht="15.75" customHeight="1"/>
    <row r="877" s="13" customFormat="1" ht="15.75" customHeight="1"/>
    <row r="878" s="13" customFormat="1" ht="15.75" customHeight="1"/>
    <row r="879" s="13" customFormat="1" ht="15.75" customHeight="1"/>
    <row r="880" s="13" customFormat="1" ht="15.75" customHeight="1"/>
    <row r="881" s="13" customFormat="1" ht="15.75" customHeight="1"/>
    <row r="882" s="13" customFormat="1" ht="15.75" customHeight="1"/>
    <row r="883" s="13" customFormat="1" ht="15.75" customHeight="1"/>
    <row r="884" s="13" customFormat="1" ht="15.75" customHeight="1"/>
    <row r="885" s="13" customFormat="1" ht="15.75" customHeight="1"/>
    <row r="886" s="13" customFormat="1" ht="15.75" customHeight="1"/>
    <row r="887" s="13" customFormat="1" ht="15.75" customHeight="1"/>
    <row r="888" s="13" customFormat="1" ht="15.75" customHeight="1"/>
    <row r="889" s="13" customFormat="1" ht="15.75" customHeight="1"/>
    <row r="890" s="13" customFormat="1" ht="15.75" customHeight="1"/>
    <row r="891" s="13" customFormat="1" ht="15.75" customHeight="1"/>
    <row r="892" s="13" customFormat="1" ht="15.75" customHeight="1"/>
    <row r="893" s="13" customFormat="1" ht="15.75" customHeight="1"/>
    <row r="894" s="13" customFormat="1" ht="15.75" customHeight="1"/>
    <row r="895" s="13" customFormat="1" ht="15.75" customHeight="1"/>
    <row r="896" s="13" customFormat="1" ht="15.75" customHeight="1"/>
    <row r="897" s="13" customFormat="1" ht="15.75" customHeight="1"/>
    <row r="898" s="13" customFormat="1" ht="15.75" customHeight="1"/>
    <row r="899" s="13" customFormat="1" ht="15.75" customHeight="1"/>
    <row r="900" s="13" customFormat="1" ht="15.75" customHeight="1"/>
    <row r="901" s="13" customFormat="1" ht="15.75" customHeight="1"/>
    <row r="902" s="13" customFormat="1" ht="15.75" customHeight="1"/>
    <row r="903" s="13" customFormat="1" ht="15.75" customHeight="1"/>
    <row r="904" s="13" customFormat="1" ht="15.75" customHeight="1"/>
    <row r="905" s="13" customFormat="1" ht="15.75" customHeight="1"/>
    <row r="906" s="13" customFormat="1" ht="15.75" customHeight="1"/>
    <row r="907" s="13" customFormat="1" ht="15.75" customHeight="1"/>
    <row r="908" s="13" customFormat="1" ht="15.75" customHeight="1"/>
    <row r="909" s="13" customFormat="1" ht="15.75" customHeight="1"/>
    <row r="910" s="13" customFormat="1" ht="15.75" customHeight="1"/>
    <row r="911" s="13" customFormat="1" ht="15.75" customHeight="1"/>
    <row r="912" s="13" customFormat="1" ht="15.75" customHeight="1"/>
    <row r="913" s="13" customFormat="1" ht="15.75" customHeight="1"/>
    <row r="914" s="13" customFormat="1" ht="15.75" customHeight="1"/>
    <row r="915" s="13" customFormat="1" ht="15.75" customHeight="1"/>
    <row r="916" s="13" customFormat="1" ht="15.75" customHeight="1"/>
    <row r="917" s="13" customFormat="1" ht="15.75" customHeight="1"/>
    <row r="918" s="13" customFormat="1" ht="15.75" customHeight="1"/>
    <row r="919" s="13" customFormat="1" ht="15.75" customHeight="1"/>
    <row r="920" s="13" customFormat="1" ht="15.75" customHeight="1"/>
    <row r="921" s="13" customFormat="1" ht="15.75" customHeight="1"/>
    <row r="922" s="13" customFormat="1" ht="15.75" customHeight="1"/>
    <row r="923" s="13" customFormat="1" ht="15.75" customHeight="1"/>
    <row r="924" s="13" customFormat="1" ht="15.75" customHeight="1"/>
    <row r="925" s="13" customFormat="1" ht="15.75" customHeight="1"/>
    <row r="926" s="13" customFormat="1" ht="15.75" customHeight="1"/>
    <row r="927" s="13" customFormat="1" ht="15.75" customHeight="1"/>
    <row r="928" s="13" customFormat="1" ht="15.75" customHeight="1"/>
    <row r="929" s="13" customFormat="1" ht="15.75" customHeight="1"/>
    <row r="930" s="13" customFormat="1" ht="15.75" customHeight="1"/>
    <row r="931" s="13" customFormat="1" ht="15.75" customHeight="1"/>
    <row r="932" s="13" customFormat="1" ht="15.75" customHeight="1"/>
    <row r="933" s="13" customFormat="1" ht="15.75" customHeight="1"/>
    <row r="934" s="13" customFormat="1" ht="15.75" customHeight="1"/>
    <row r="935" s="13" customFormat="1" ht="15.75" customHeight="1"/>
    <row r="936" s="13" customFormat="1" ht="15.75" customHeight="1"/>
    <row r="937" s="13" customFormat="1" ht="15.75" customHeight="1"/>
    <row r="938" s="13" customFormat="1" ht="15.75" customHeight="1"/>
    <row r="939" s="13" customFormat="1" ht="15.75" customHeight="1"/>
    <row r="940" s="13" customFormat="1" ht="15.75" customHeight="1"/>
    <row r="941" s="13" customFormat="1" ht="15.75" customHeight="1"/>
    <row r="942" s="13" customFormat="1" ht="15.75" customHeight="1"/>
    <row r="943" s="13" customFormat="1" ht="15.75" customHeight="1"/>
    <row r="944" s="13" customFormat="1" ht="15.75" customHeight="1"/>
    <row r="945" s="13" customFormat="1" ht="15.75" customHeight="1"/>
    <row r="946" s="13" customFormat="1" ht="15.75" customHeight="1"/>
    <row r="947" s="13" customFormat="1" ht="15.75" customHeight="1"/>
    <row r="948" s="13" customFormat="1" ht="15.75" customHeight="1"/>
    <row r="949" s="13" customFormat="1" ht="15.75" customHeight="1"/>
    <row r="950" s="13" customFormat="1" ht="15.75" customHeight="1"/>
    <row r="951" s="13" customFormat="1" ht="15.75" customHeight="1"/>
    <row r="952" s="13" customFormat="1" ht="15.75" customHeight="1"/>
    <row r="953" s="13" customFormat="1" ht="15.75" customHeight="1"/>
    <row r="954" s="13" customFormat="1" ht="15.75" customHeight="1"/>
    <row r="955" s="13" customFormat="1" ht="15.75" customHeight="1"/>
    <row r="956" s="13" customFormat="1" ht="15.75" customHeight="1"/>
    <row r="957" s="13" customFormat="1" ht="15.75" customHeight="1"/>
    <row r="958" s="13" customFormat="1" ht="15.75" customHeight="1"/>
    <row r="959" s="13" customFormat="1" ht="15.75" customHeight="1"/>
    <row r="960" s="13" customFormat="1" ht="15.75" customHeight="1"/>
    <row r="961" s="13" customFormat="1" ht="15.75" customHeight="1"/>
    <row r="962" s="13" customFormat="1" ht="15.75" customHeight="1"/>
    <row r="963" s="13" customFormat="1" ht="15.75" customHeight="1"/>
    <row r="964" s="13" customFormat="1" ht="15.75" customHeight="1"/>
    <row r="965" s="13" customFormat="1" ht="15.75" customHeight="1"/>
    <row r="966" s="13" customFormat="1" ht="15.75" customHeight="1"/>
    <row r="967" s="13" customFormat="1" ht="15.75" customHeight="1"/>
    <row r="968" s="13" customFormat="1" ht="15.75" customHeight="1"/>
    <row r="969" s="13" customFormat="1" ht="15.75" customHeight="1"/>
    <row r="970" s="13" customFormat="1" ht="15.75" customHeight="1"/>
    <row r="971" s="13" customFormat="1" ht="15.75" customHeight="1"/>
    <row r="972" s="13" customFormat="1" ht="15.75" customHeight="1"/>
    <row r="973" s="13" customFormat="1" ht="15.75" customHeight="1"/>
    <row r="974" s="13" customFormat="1" ht="15.75" customHeight="1"/>
    <row r="975" s="13" customFormat="1" ht="15.75" customHeight="1"/>
    <row r="976" s="13" customFormat="1" ht="15.75" customHeight="1"/>
    <row r="977" s="13" customFormat="1" ht="15.75" customHeight="1"/>
    <row r="978" s="13" customFormat="1" ht="15.75" customHeight="1"/>
    <row r="979" s="13" customFormat="1" ht="15.75" customHeight="1"/>
    <row r="980" s="13" customFormat="1" ht="15.75" customHeight="1"/>
    <row r="981" s="13" customFormat="1" ht="15.75" customHeight="1"/>
    <row r="982" s="13" customFormat="1" ht="15.75" customHeight="1"/>
    <row r="983" s="13" customFormat="1" ht="15.75" customHeight="1"/>
    <row r="984" s="13" customFormat="1" ht="15.75" customHeight="1"/>
    <row r="985" s="13" customFormat="1" ht="15.75" customHeight="1"/>
    <row r="986" s="13" customFormat="1" ht="15.75" customHeight="1"/>
    <row r="987" s="13" customFormat="1" ht="15.75" customHeight="1"/>
    <row r="988" s="13" customFormat="1" ht="15.75" customHeight="1"/>
    <row r="989" s="13" customFormat="1" ht="15.75" customHeight="1"/>
    <row r="990" s="13" customFormat="1" ht="15.75" customHeight="1"/>
    <row r="991" s="13" customFormat="1" ht="15.75" customHeight="1"/>
    <row r="992" s="13" customFormat="1" ht="15.75" customHeight="1"/>
    <row r="993" s="13" customFormat="1" ht="15.75" customHeight="1"/>
    <row r="994" s="13" customFormat="1" ht="15.75" customHeight="1"/>
    <row r="995" s="13" customFormat="1" ht="15.75" customHeight="1"/>
    <row r="996" s="13" customFormat="1" ht="15.75" customHeight="1"/>
    <row r="997" s="13" customFormat="1" ht="15.75" customHeight="1"/>
    <row r="998" s="13" customFormat="1" ht="15.75" customHeight="1"/>
    <row r="999" s="13" customFormat="1" ht="15.75" customHeight="1"/>
    <row r="1000" s="13" customFormat="1" ht="15.75" customHeight="1"/>
    <row r="1001" s="13" customFormat="1" ht="15.75" customHeight="1"/>
    <row r="1002" s="13" customFormat="1" ht="15.75" customHeight="1"/>
  </sheetData>
  <mergeCells count="9">
    <mergeCell ref="A28:C28"/>
    <mergeCell ref="A29:C29"/>
    <mergeCell ref="A21:C21"/>
    <mergeCell ref="A22:C22"/>
    <mergeCell ref="A23:C23"/>
    <mergeCell ref="A24:C24"/>
    <mergeCell ref="A25:C25"/>
    <mergeCell ref="A26:C26"/>
    <mergeCell ref="A27:C27"/>
  </mergeCells>
  <pageMargins left="0.25" right="0.25" top="0.75" bottom="0.75" header="0.3" footer="0.3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workbookViewId="0">
      <selection activeCell="C25" sqref="C25"/>
    </sheetView>
  </sheetViews>
  <sheetFormatPr baseColWidth="10" defaultColWidth="46.375" defaultRowHeight="12"/>
  <cols>
    <col min="1" max="1" width="19.25" style="2" bestFit="1" customWidth="1"/>
    <col min="2" max="2" width="20.125" style="2" bestFit="1" customWidth="1"/>
    <col min="3" max="3" width="8.875" style="2" bestFit="1" customWidth="1"/>
    <col min="4" max="4" width="15.5" style="2" bestFit="1" customWidth="1"/>
    <col min="5" max="5" width="9" style="2" bestFit="1" customWidth="1"/>
    <col min="6" max="6" width="14.75" style="2" bestFit="1" customWidth="1"/>
    <col min="7" max="7" width="9.25" style="2" bestFit="1" customWidth="1"/>
    <col min="8" max="16384" width="46.375" style="2"/>
  </cols>
  <sheetData>
    <row r="1" spans="1:7">
      <c r="A1" s="1"/>
      <c r="B1" s="2" t="s">
        <v>28</v>
      </c>
    </row>
    <row r="3" spans="1:7">
      <c r="A3" s="3" t="s">
        <v>29</v>
      </c>
      <c r="B3" s="1">
        <v>540</v>
      </c>
      <c r="D3" s="4"/>
      <c r="E3" s="4"/>
    </row>
    <row r="5" spans="1:7">
      <c r="A5" s="5" t="s">
        <v>30</v>
      </c>
    </row>
    <row r="6" spans="1:7">
      <c r="A6" s="5" t="s">
        <v>31</v>
      </c>
      <c r="B6" s="6" t="s">
        <v>32</v>
      </c>
      <c r="C6" s="2" t="s">
        <v>33</v>
      </c>
      <c r="D6" s="7" t="s">
        <v>34</v>
      </c>
      <c r="E6" s="8">
        <v>900</v>
      </c>
      <c r="F6" s="9" t="s">
        <v>35</v>
      </c>
    </row>
    <row r="8" spans="1:7">
      <c r="A8" s="6"/>
      <c r="D8" s="37">
        <v>44738</v>
      </c>
      <c r="E8" s="38"/>
      <c r="F8" s="38"/>
      <c r="G8" s="39"/>
    </row>
    <row r="9" spans="1:7">
      <c r="B9" s="8" t="s">
        <v>36</v>
      </c>
      <c r="C9" s="8" t="s">
        <v>37</v>
      </c>
      <c r="D9" s="8" t="s">
        <v>38</v>
      </c>
      <c r="E9" s="8" t="s">
        <v>39</v>
      </c>
      <c r="F9" s="8" t="s">
        <v>40</v>
      </c>
      <c r="G9" s="8" t="s">
        <v>41</v>
      </c>
    </row>
    <row r="10" spans="1:7">
      <c r="A10" s="2" t="s">
        <v>59</v>
      </c>
      <c r="B10" s="9" t="s">
        <v>42</v>
      </c>
      <c r="C10" s="9">
        <f t="shared" ref="C10:C11" si="0">19282.5/2</f>
        <v>9641.25</v>
      </c>
      <c r="D10" s="10">
        <f>4588.54</f>
        <v>4588.54</v>
      </c>
      <c r="E10" s="10">
        <f t="shared" ref="E10:E18" si="1">D10*C10/1000</f>
        <v>44239.261274999997</v>
      </c>
      <c r="F10" s="10">
        <f t="shared" ref="F10:F18" si="2">+E10/$E$6</f>
        <v>49.154734749999996</v>
      </c>
      <c r="G10" s="10">
        <f t="shared" ref="G10:G18" si="3">F10/2</f>
        <v>24.577367374999998</v>
      </c>
    </row>
    <row r="11" spans="1:7">
      <c r="A11" s="2" t="s">
        <v>60</v>
      </c>
      <c r="B11" s="9" t="s">
        <v>43</v>
      </c>
      <c r="C11" s="9">
        <f t="shared" si="0"/>
        <v>9641.25</v>
      </c>
      <c r="D11" s="10">
        <v>4541.25</v>
      </c>
      <c r="E11" s="10">
        <f t="shared" si="1"/>
        <v>43783.326562499999</v>
      </c>
      <c r="F11" s="10">
        <f t="shared" si="2"/>
        <v>48.648140624999996</v>
      </c>
      <c r="G11" s="10">
        <f t="shared" si="3"/>
        <v>24.324070312499998</v>
      </c>
    </row>
    <row r="12" spans="1:7">
      <c r="A12" s="2" t="s">
        <v>61</v>
      </c>
      <c r="B12" s="9" t="s">
        <v>44</v>
      </c>
      <c r="C12" s="9">
        <v>3857.5</v>
      </c>
      <c r="D12" s="10">
        <v>197.21</v>
      </c>
      <c r="E12" s="10">
        <f t="shared" si="1"/>
        <v>760.73757500000011</v>
      </c>
      <c r="F12" s="10">
        <f t="shared" si="2"/>
        <v>0.84526397222222238</v>
      </c>
      <c r="G12" s="10">
        <f t="shared" si="3"/>
        <v>0.42263198611111119</v>
      </c>
    </row>
    <row r="13" spans="1:7">
      <c r="A13" s="2" t="s">
        <v>62</v>
      </c>
      <c r="B13" s="9" t="s">
        <v>45</v>
      </c>
      <c r="C13" s="9">
        <v>61.5</v>
      </c>
      <c r="D13" s="10">
        <v>18200</v>
      </c>
      <c r="E13" s="10">
        <f t="shared" si="1"/>
        <v>1119.3</v>
      </c>
      <c r="F13" s="10">
        <f t="shared" si="2"/>
        <v>1.2436666666666667</v>
      </c>
      <c r="G13" s="10">
        <f t="shared" si="3"/>
        <v>0.62183333333333335</v>
      </c>
    </row>
    <row r="14" spans="1:7">
      <c r="A14" s="2" t="s">
        <v>63</v>
      </c>
      <c r="B14" s="9" t="s">
        <v>46</v>
      </c>
      <c r="C14" s="9">
        <v>41.25</v>
      </c>
      <c r="D14" s="10">
        <v>3404</v>
      </c>
      <c r="E14" s="10">
        <f t="shared" si="1"/>
        <v>140.41499999999999</v>
      </c>
      <c r="F14" s="10">
        <f t="shared" si="2"/>
        <v>0.15601666666666666</v>
      </c>
      <c r="G14" s="10">
        <f t="shared" si="3"/>
        <v>7.8008333333333332E-2</v>
      </c>
    </row>
    <row r="15" spans="1:7">
      <c r="A15" s="2" t="s">
        <v>64</v>
      </c>
      <c r="B15" s="9" t="s">
        <v>47</v>
      </c>
      <c r="C15" s="9">
        <v>900</v>
      </c>
      <c r="D15" s="10">
        <v>523.85</v>
      </c>
      <c r="E15" s="10">
        <f t="shared" si="1"/>
        <v>471.46499999999997</v>
      </c>
      <c r="F15" s="10">
        <f t="shared" si="2"/>
        <v>0.52384999999999993</v>
      </c>
      <c r="G15" s="10">
        <f t="shared" si="3"/>
        <v>0.26192499999999996</v>
      </c>
    </row>
    <row r="16" spans="1:7">
      <c r="A16" s="2" t="s">
        <v>65</v>
      </c>
      <c r="B16" s="9" t="s">
        <v>48</v>
      </c>
      <c r="C16" s="9">
        <v>514.25</v>
      </c>
      <c r="D16" s="10">
        <v>12661.66</v>
      </c>
      <c r="E16" s="10">
        <f t="shared" si="1"/>
        <v>6511.2586550000005</v>
      </c>
      <c r="F16" s="10">
        <f t="shared" si="2"/>
        <v>7.2347318388888899</v>
      </c>
      <c r="G16" s="10">
        <f t="shared" si="3"/>
        <v>3.617365919444445</v>
      </c>
    </row>
    <row r="17" spans="1:9">
      <c r="A17" s="2" t="s">
        <v>66</v>
      </c>
      <c r="B17" s="9" t="s">
        <v>49</v>
      </c>
      <c r="C17" s="9">
        <v>52.06</v>
      </c>
      <c r="D17" s="10">
        <f>69.5*132</f>
        <v>9174</v>
      </c>
      <c r="E17" s="10">
        <f t="shared" si="1"/>
        <v>477.59843999999998</v>
      </c>
      <c r="F17" s="10">
        <f t="shared" si="2"/>
        <v>0.53066493333333331</v>
      </c>
      <c r="G17" s="10">
        <f t="shared" si="3"/>
        <v>0.26533246666666666</v>
      </c>
    </row>
    <row r="18" spans="1:9">
      <c r="A18" s="2" t="s">
        <v>67</v>
      </c>
      <c r="B18" s="9" t="s">
        <v>50</v>
      </c>
      <c r="C18" s="9">
        <v>21.1</v>
      </c>
      <c r="D18" s="10">
        <f>81*132</f>
        <v>10692</v>
      </c>
      <c r="E18" s="10">
        <f t="shared" si="1"/>
        <v>225.60120000000001</v>
      </c>
      <c r="F18" s="10">
        <f t="shared" si="2"/>
        <v>0.250668</v>
      </c>
      <c r="G18" s="10">
        <f t="shared" si="3"/>
        <v>0.125334</v>
      </c>
    </row>
    <row r="19" spans="1:9">
      <c r="B19" s="8" t="s">
        <v>51</v>
      </c>
      <c r="C19" s="8">
        <f>SUM(C10:C18)</f>
        <v>24730.16</v>
      </c>
      <c r="D19" s="11"/>
      <c r="E19" s="11">
        <f t="shared" ref="E19:G19" si="4">SUM(E10:E18)</f>
        <v>97728.963707500006</v>
      </c>
      <c r="F19" s="11">
        <f t="shared" si="4"/>
        <v>108.58773745277777</v>
      </c>
      <c r="G19" s="11">
        <f t="shared" si="4"/>
        <v>54.293868726388887</v>
      </c>
    </row>
    <row r="20" spans="1:9">
      <c r="A20" s="2" t="s">
        <v>68</v>
      </c>
      <c r="B20" s="8" t="s">
        <v>52</v>
      </c>
      <c r="C20" s="8">
        <v>540000</v>
      </c>
      <c r="D20" s="11">
        <v>130</v>
      </c>
      <c r="E20" s="11">
        <f>D20*C20/1000</f>
        <v>70200</v>
      </c>
      <c r="F20" s="11">
        <f>+E20/$E$6</f>
        <v>78</v>
      </c>
      <c r="G20" s="11">
        <f>F20/2</f>
        <v>39</v>
      </c>
      <c r="I20" s="12"/>
    </row>
    <row r="21" spans="1:9">
      <c r="I21" s="12"/>
    </row>
    <row r="22" spans="1:9">
      <c r="I22" s="12"/>
    </row>
    <row r="23" spans="1:9">
      <c r="A23" s="40" t="s">
        <v>53</v>
      </c>
      <c r="B23" s="41"/>
      <c r="C23" s="41"/>
      <c r="D23" s="41"/>
      <c r="E23" s="41"/>
      <c r="F23" s="41"/>
      <c r="G23" s="41"/>
      <c r="H23" s="41"/>
    </row>
  </sheetData>
  <mergeCells count="2">
    <mergeCell ref="D8:G8"/>
    <mergeCell ref="A23:H23"/>
  </mergeCells>
  <pageMargins left="0.25" right="0.25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Costeo</vt:lpstr>
      <vt:lpstr>Insumos</vt:lpstr>
      <vt:lpstr>Costeo!Área_de_impresión</vt:lpstr>
      <vt:lpstr>Insumos!Área_de_impresión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cp:lastPrinted>2022-07-15T15:08:04Z</cp:lastPrinted>
  <dcterms:created xsi:type="dcterms:W3CDTF">2021-11-16T13:44:54Z</dcterms:created>
  <dcterms:modified xsi:type="dcterms:W3CDTF">2023-02-13T20:21:51Z</dcterms:modified>
</cp:coreProperties>
</file>