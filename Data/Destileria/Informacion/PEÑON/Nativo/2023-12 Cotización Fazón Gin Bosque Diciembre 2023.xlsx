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FC44E801-012A-4AC3-8962-6B36BFD053E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11" i="2" l="1"/>
  <c r="H11" i="2"/>
  <c r="H22" i="3" l="1"/>
  <c r="C6" i="3" l="1"/>
  <c r="C2" i="3" l="1"/>
  <c r="D10" i="1"/>
  <c r="D16" i="1" l="1"/>
  <c r="D2" i="1" l="1"/>
  <c r="D9" i="1" l="1"/>
  <c r="D15" i="1"/>
  <c r="D12" i="1" l="1"/>
  <c r="C20" i="3"/>
  <c r="D14" i="1" l="1"/>
  <c r="D11" i="1" l="1"/>
  <c r="D7" i="1"/>
  <c r="D8" i="1"/>
  <c r="G20" i="2"/>
  <c r="H20" i="2" s="1"/>
  <c r="D6" i="1" l="1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l="1"/>
</calcChain>
</file>

<file path=xl/sharedStrings.xml><?xml version="1.0" encoding="utf-8"?>
<sst xmlns="http://schemas.openxmlformats.org/spreadsheetml/2006/main" count="160" uniqueCount="121">
  <si>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</si>
  <si>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</si>
  <si>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</si>
  <si>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</si>
  <si>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</si>
  <si>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</si>
  <si>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</si>
  <si>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</si>
  <si>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</si>
  <si>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</si>
  <si>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</si>
  <si>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</si>
  <si>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</si>
  <si>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</si>
  <si>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</si>
  <si>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</si>
  <si>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</si>
  <si>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</si>
  <si>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</si>
  <si>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</si>
  <si>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</si>
  <si>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</si>
  <si>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</si>
  <si>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</si>
  <si>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</si>
  <si>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</si>
  <si>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</si>
  <si>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</si>
  <si>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</si>
  <si>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</si>
  <si>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</si>
  <si>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</si>
  <si>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</si>
  <si>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</si>
  <si>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</si>
  <si>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</si>
  <si>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</si>
  <si>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</si>
  <si>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</si>
  <si>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</si>
  <si>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</si>
  <si>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</si>
  <si>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</si>
  <si>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</si>
  <si>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</si>
  <si>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</si>
  <si>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</si>
  <si>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</si>
  <si>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</si>
  <si>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</si>
  <si>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</si>
  <si>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</si>
  <si>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</si>
  <si>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</si>
  <si>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</si>
  <si>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</si>
  <si>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</si>
  <si>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</si>
  <si>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</si>
  <si>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</si>
  <si>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</si>
  <si>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</si>
  <si>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</si>
  <si>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</si>
  <si>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</si>
  <si>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</si>
  <si>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</si>
  <si>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</si>
  <si>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</si>
  <si>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</si>
  <si>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</si>
  <si>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</si>
  <si>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</si>
  <si>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</si>
  <si>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</si>
  <si>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</si>
  <si>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</si>
  <si>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</si>
  <si>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</si>
  <si>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</si>
  <si>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</si>
  <si>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</si>
  <si>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</si>
  <si>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</si>
  <si>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</si>
  <si>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</si>
  <si>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</si>
  <si>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</si>
  <si>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</si>
  <si>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</si>
  <si>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</si>
  <si>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</si>
  <si>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</si>
  <si>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</si>
  <si>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</si>
  <si>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</si>
  <si>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</si>
  <si>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</si>
  <si>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</si>
  <si>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</si>
  <si>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</si>
  <si>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</si>
  <si>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</si>
  <si>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</si>
  <si>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</si>
  <si>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https://www.bna.com.ar/Personas</t>
  </si>
  <si>
    <t>GARNIL</t>
  </si>
  <si>
    <t>MELAR</t>
  </si>
  <si>
    <t>Fasonado</t>
  </si>
  <si>
    <t>Servicios e Indirectos</t>
  </si>
  <si>
    <t>IGB014</t>
  </si>
  <si>
    <t>* 09-10</t>
  </si>
  <si>
    <t>PEÑON-TAPI desde 10-2023</t>
  </si>
  <si>
    <t>* estimado a revisar</t>
  </si>
  <si>
    <t>* 10-10</t>
  </si>
  <si>
    <t>*nuevo</t>
  </si>
  <si>
    <t>PEÑON-MULTICAJAS SA desde 13-11-2023</t>
  </si>
  <si>
    <t>* 02-11</t>
  </si>
  <si>
    <t>aumento 12-2023</t>
  </si>
  <si>
    <t>* Aumentos Abril 2023 y Julio 2023 - Octubre 2023 estimado a revisar-Dic estimado revisar</t>
  </si>
  <si>
    <t>*nuevo tc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</si>
</sst>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0" fontId="2" fillId="0" borderId="0" xfId="2" applyNumberFormat="1" applyFont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0"/>
  <sheetViews>
    <sheetView workbookViewId="0">
      <selection activeCell="C6" sqref="C6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10" x14ac:dyDescent="0.2">
      <c r="C1" t="s">
        <v>75</v>
      </c>
    </row>
    <row r="2" spans="1:10" ht="15" x14ac:dyDescent="0.25">
      <c r="A2" s="38" t="s">
        <v>74</v>
      </c>
      <c r="C2" s="64">
        <f>+B4</f>
        <v>45275</v>
      </c>
      <c r="D2" s="64"/>
    </row>
    <row r="4" spans="1:10" ht="15" x14ac:dyDescent="0.25">
      <c r="A4" s="38" t="s">
        <v>76</v>
      </c>
      <c r="B4" s="48">
        <v>45275</v>
      </c>
      <c r="C4" s="52">
        <v>821</v>
      </c>
      <c r="D4" s="38" t="s">
        <v>102</v>
      </c>
      <c r="E4" s="59" t="s">
        <v>105</v>
      </c>
      <c r="I4" s="60"/>
    </row>
    <row r="5" spans="1:10" x14ac:dyDescent="0.2">
      <c r="A5" t="s">
        <v>61</v>
      </c>
      <c r="B5" s="33" t="s">
        <v>103</v>
      </c>
      <c r="C5" s="62">
        <v>8931.92</v>
      </c>
      <c r="D5" s="50" t="s">
        <v>104</v>
      </c>
      <c r="E5" s="60"/>
    </row>
    <row r="6" spans="1:10" x14ac:dyDescent="0.2">
      <c r="A6" s="33" t="s">
        <v>110</v>
      </c>
      <c r="B6" s="33" t="s">
        <v>100</v>
      </c>
      <c r="C6" s="62">
        <f>53.5*1.13</f>
        <v>60.454999999999991</v>
      </c>
      <c r="D6" s="40"/>
      <c r="E6" s="49" t="s">
        <v>106</v>
      </c>
      <c r="F6" s="49" t="s">
        <v>117</v>
      </c>
      <c r="H6" s="61"/>
      <c r="I6" s="61"/>
      <c r="J6" s="61"/>
    </row>
    <row r="7" spans="1:10" x14ac:dyDescent="0.2">
      <c r="A7" t="s">
        <v>62</v>
      </c>
      <c r="B7" t="s">
        <v>44</v>
      </c>
      <c r="C7" s="62">
        <v>1150</v>
      </c>
      <c r="D7" s="40"/>
      <c r="E7" s="49" t="s">
        <v>107</v>
      </c>
      <c r="F7" s="49" t="s">
        <v>111</v>
      </c>
    </row>
    <row r="8" spans="1:10" x14ac:dyDescent="0.2">
      <c r="A8" t="s">
        <v>63</v>
      </c>
      <c r="B8" t="s">
        <v>45</v>
      </c>
      <c r="C8" s="62">
        <v>38796</v>
      </c>
      <c r="D8" s="40"/>
      <c r="E8" s="49" t="s">
        <v>107</v>
      </c>
      <c r="F8" s="49" t="s">
        <v>111</v>
      </c>
    </row>
    <row r="9" spans="1:10" x14ac:dyDescent="0.2">
      <c r="A9" t="s">
        <v>64</v>
      </c>
      <c r="B9" t="s">
        <v>46</v>
      </c>
      <c r="C9" s="62">
        <v>27466</v>
      </c>
      <c r="D9" s="40"/>
      <c r="E9" s="49" t="s">
        <v>107</v>
      </c>
      <c r="F9" s="49" t="s">
        <v>111</v>
      </c>
    </row>
    <row r="10" spans="1:10" x14ac:dyDescent="0.2">
      <c r="A10" t="s">
        <v>65</v>
      </c>
      <c r="B10" t="s">
        <v>47</v>
      </c>
      <c r="C10" s="62">
        <v>5423.83</v>
      </c>
      <c r="D10" s="40"/>
      <c r="E10" s="49" t="s">
        <v>107</v>
      </c>
      <c r="F10" s="49" t="s">
        <v>114</v>
      </c>
    </row>
    <row r="11" spans="1:10" x14ac:dyDescent="0.2">
      <c r="A11" t="s">
        <v>66</v>
      </c>
      <c r="B11" t="s">
        <v>48</v>
      </c>
      <c r="C11" s="62">
        <v>16596.59</v>
      </c>
      <c r="D11" s="50" t="s">
        <v>104</v>
      </c>
      <c r="E11" s="60"/>
    </row>
    <row r="12" spans="1:10" x14ac:dyDescent="0.2">
      <c r="A12" t="s">
        <v>67</v>
      </c>
      <c r="B12" t="s">
        <v>49</v>
      </c>
      <c r="C12" s="62">
        <v>80.5</v>
      </c>
      <c r="D12" s="40"/>
    </row>
    <row r="13" spans="1:10" x14ac:dyDescent="0.2">
      <c r="A13" t="s">
        <v>68</v>
      </c>
      <c r="B13" t="s">
        <v>50</v>
      </c>
      <c r="C13" s="62">
        <v>235</v>
      </c>
      <c r="D13" s="40"/>
    </row>
    <row r="14" spans="1:10" ht="15" x14ac:dyDescent="0.25">
      <c r="A14" t="s">
        <v>69</v>
      </c>
      <c r="B14" t="s">
        <v>52</v>
      </c>
      <c r="C14" s="52">
        <v>700</v>
      </c>
      <c r="D14" s="50"/>
      <c r="E14" s="33"/>
    </row>
    <row r="15" spans="1:10" x14ac:dyDescent="0.2">
      <c r="A15" t="s">
        <v>83</v>
      </c>
      <c r="B15" t="s">
        <v>4</v>
      </c>
      <c r="C15" s="62">
        <v>2.7</v>
      </c>
    </row>
    <row r="16" spans="1:10" x14ac:dyDescent="0.2">
      <c r="A16" s="33" t="s">
        <v>92</v>
      </c>
      <c r="B16" t="s">
        <v>84</v>
      </c>
      <c r="C16" s="53">
        <v>2235</v>
      </c>
      <c r="D16" s="33" t="s">
        <v>91</v>
      </c>
    </row>
    <row r="17" spans="1:10" x14ac:dyDescent="0.2">
      <c r="A17" s="33" t="s">
        <v>87</v>
      </c>
      <c r="B17" t="s">
        <v>85</v>
      </c>
      <c r="C17" s="53">
        <v>250</v>
      </c>
      <c r="D17" s="33" t="s">
        <v>89</v>
      </c>
    </row>
    <row r="18" spans="1:10" x14ac:dyDescent="0.2">
      <c r="A18" s="33" t="s">
        <v>93</v>
      </c>
      <c r="B18" s="33" t="s">
        <v>88</v>
      </c>
      <c r="C18" s="62">
        <v>3918.37</v>
      </c>
      <c r="D18" s="33" t="s">
        <v>90</v>
      </c>
    </row>
    <row r="19" spans="1:10" s="43" customFormat="1" ht="15" x14ac:dyDescent="0.25">
      <c r="A19" s="49" t="s">
        <v>94</v>
      </c>
      <c r="B19" s="49" t="s">
        <v>96</v>
      </c>
      <c r="C19" s="63">
        <v>14.35</v>
      </c>
      <c r="D19" s="49" t="s">
        <v>97</v>
      </c>
      <c r="E19" s="49"/>
      <c r="F19" s="49"/>
    </row>
    <row r="20" spans="1:10" s="38" customFormat="1" ht="15" x14ac:dyDescent="0.25">
      <c r="A20" s="49"/>
      <c r="B20" s="49" t="s">
        <v>86</v>
      </c>
      <c r="C20" s="63">
        <f>+(C16/980)+((C17*4)/980)+((C18/4)/980)+(C19/4)</f>
        <v>7.8881045918367345</v>
      </c>
      <c r="D20" s="49"/>
      <c r="E20" s="49"/>
      <c r="F20" s="49"/>
    </row>
    <row r="21" spans="1:10" x14ac:dyDescent="0.2">
      <c r="A21" s="67" t="s">
        <v>70</v>
      </c>
      <c r="B21" s="67" t="s">
        <v>6</v>
      </c>
      <c r="C21" s="63">
        <v>0.39500000000000002</v>
      </c>
      <c r="D21" s="49" t="s">
        <v>99</v>
      </c>
      <c r="E21" s="49" t="s">
        <v>112</v>
      </c>
      <c r="F21" s="49"/>
      <c r="G21" s="61"/>
    </row>
    <row r="22" spans="1:10" x14ac:dyDescent="0.2">
      <c r="A22" s="66" t="s">
        <v>60</v>
      </c>
      <c r="B22" s="66" t="s">
        <v>7</v>
      </c>
      <c r="C22" s="63">
        <v>0.20114000000000001</v>
      </c>
      <c r="E22" s="33" t="s">
        <v>104</v>
      </c>
      <c r="H22" s="61">
        <f>+C22*C4/2</f>
        <v>82.567970000000003</v>
      </c>
      <c r="I22" s="61">
        <v>28.03</v>
      </c>
    </row>
    <row r="23" spans="1:10" x14ac:dyDescent="0.2">
      <c r="A23" s="33" t="s">
        <v>58</v>
      </c>
      <c r="B23" t="s">
        <v>8</v>
      </c>
      <c r="C23" s="63">
        <v>224.21</v>
      </c>
      <c r="D23" s="33" t="s">
        <v>118</v>
      </c>
      <c r="E23" s="33" t="s">
        <v>104</v>
      </c>
      <c r="F23" s="33"/>
    </row>
    <row r="24" spans="1:10" x14ac:dyDescent="0.2">
      <c r="A24" s="66" t="s">
        <v>79</v>
      </c>
      <c r="B24" s="66" t="s">
        <v>81</v>
      </c>
      <c r="C24" s="63">
        <v>225</v>
      </c>
      <c r="D24" s="33" t="s">
        <v>95</v>
      </c>
      <c r="E24" s="49" t="s">
        <v>116</v>
      </c>
      <c r="J24" s="68">
        <v>85.35</v>
      </c>
    </row>
    <row r="25" spans="1:10" s="49" customFormat="1" x14ac:dyDescent="0.2">
      <c r="A25" s="67" t="s">
        <v>80</v>
      </c>
      <c r="B25" s="67" t="s">
        <v>82</v>
      </c>
      <c r="C25" s="63">
        <v>42.5</v>
      </c>
      <c r="D25" s="49" t="s">
        <v>98</v>
      </c>
      <c r="E25" s="49" t="s">
        <v>116</v>
      </c>
      <c r="J25" s="68">
        <v>20.37</v>
      </c>
    </row>
    <row r="26" spans="1:10" ht="15" x14ac:dyDescent="0.25">
      <c r="A26" s="38" t="s">
        <v>77</v>
      </c>
      <c r="C26" s="54">
        <v>0.128</v>
      </c>
      <c r="D26" s="33" t="s">
        <v>113</v>
      </c>
    </row>
    <row r="27" spans="1:10" ht="15" x14ac:dyDescent="0.25">
      <c r="A27" s="38" t="s">
        <v>78</v>
      </c>
      <c r="C27" s="55">
        <v>1.25</v>
      </c>
      <c r="D27" s="33" t="s">
        <v>119</v>
      </c>
    </row>
    <row r="29" spans="1:10" x14ac:dyDescent="0.2">
      <c r="A29" t="s">
        <v>109</v>
      </c>
      <c r="C29">
        <v>135</v>
      </c>
    </row>
    <row r="30" spans="1:10" x14ac:dyDescent="0.2">
      <c r="A30" t="s">
        <v>108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abSelected="1" topLeftCell="B1" workbookViewId="0">
      <selection activeCell="G11" sqref="G11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7" t="s">
        <v>101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8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>
        <v>44738</v>
      </c>
      <c r="H8" s="70"/>
      <c r="I8" s="70"/>
      <c r="J8" s="71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110</v>
      </c>
      <c r="E11" s="56" t="s">
        <v>100</v>
      </c>
      <c r="F11" s="26">
        <f t="shared" si="0"/>
        <v>9641.25</v>
      </c>
      <c r="G11" s="27">
        <f>+Datos!C6*Datos!$C$4</f>
        <v>49633.554999999993</v>
      </c>
      <c r="H11" s="27">
        <f>G11*F11/$H$6</f>
        <v>543783.53652698861</v>
      </c>
      <c r="I11" s="27">
        <f t="shared" si="1"/>
        <v>617.93583696248709</v>
      </c>
      <c r="J11" s="27">
        <f t="shared" si="2"/>
        <v>308.96791848124354</v>
      </c>
    </row>
    <row r="12" spans="1:13" x14ac:dyDescent="0.2">
      <c r="A12" s="18"/>
      <c r="B12" s="14"/>
      <c r="C12" s="14"/>
      <c r="D12" s="14" t="s">
        <v>62</v>
      </c>
      <c r="E12" s="26" t="s">
        <v>44</v>
      </c>
      <c r="F12" s="26">
        <v>3857.5</v>
      </c>
      <c r="G12" s="27">
        <f>+Datos!C7</f>
        <v>1150</v>
      </c>
      <c r="H12" s="27">
        <f t="shared" ref="H11:H18" si="3">G12*F12/$H$6</f>
        <v>5041.051136363636</v>
      </c>
      <c r="I12" s="27">
        <f t="shared" si="1"/>
        <v>5.7284672004132231</v>
      </c>
      <c r="J12" s="27">
        <f t="shared" si="2"/>
        <v>2.8642336002066116</v>
      </c>
    </row>
    <row r="13" spans="1:13" x14ac:dyDescent="0.2">
      <c r="A13" s="18"/>
      <c r="B13" s="14"/>
      <c r="C13" s="14"/>
      <c r="D13" s="14" t="s">
        <v>63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64</v>
      </c>
      <c r="E14" s="26" t="s">
        <v>46</v>
      </c>
      <c r="F14" s="26">
        <v>41.25</v>
      </c>
      <c r="G14" s="27">
        <f>+Datos!C9</f>
        <v>27466</v>
      </c>
      <c r="H14" s="27">
        <f t="shared" si="3"/>
        <v>1287.46875</v>
      </c>
      <c r="I14" s="27">
        <f t="shared" si="1"/>
        <v>1.4630326704545455</v>
      </c>
      <c r="J14" s="27">
        <f t="shared" si="2"/>
        <v>0.73151633522727277</v>
      </c>
    </row>
    <row r="15" spans="1:13" x14ac:dyDescent="0.2">
      <c r="A15" s="18"/>
      <c r="B15" s="14"/>
      <c r="C15" s="14"/>
      <c r="D15" s="14" t="s">
        <v>65</v>
      </c>
      <c r="E15" s="26" t="s">
        <v>47</v>
      </c>
      <c r="F15" s="26">
        <v>900</v>
      </c>
      <c r="G15" s="27">
        <f>+Datos!C10</f>
        <v>5423.83</v>
      </c>
      <c r="H15" s="27">
        <f t="shared" si="3"/>
        <v>5547.0988636363636</v>
      </c>
      <c r="I15" s="27">
        <f t="shared" si="1"/>
        <v>6.3035214359504135</v>
      </c>
      <c r="J15" s="27">
        <f t="shared" si="2"/>
        <v>3.1517607179752067</v>
      </c>
    </row>
    <row r="16" spans="1:13" x14ac:dyDescent="0.2">
      <c r="A16" s="18"/>
      <c r="B16" s="14"/>
      <c r="C16" s="14"/>
      <c r="D16" s="14" t="s">
        <v>66</v>
      </c>
      <c r="E16" s="26" t="s">
        <v>48</v>
      </c>
      <c r="F16" s="26">
        <v>514.25</v>
      </c>
      <c r="G16" s="27">
        <f>+Datos!C11</f>
        <v>16596.59</v>
      </c>
      <c r="H16" s="27">
        <f t="shared" si="3"/>
        <v>9698.6322812500002</v>
      </c>
      <c r="I16" s="27">
        <f t="shared" si="1"/>
        <v>11.021173046875001</v>
      </c>
      <c r="J16" s="27">
        <f t="shared" si="2"/>
        <v>5.5105865234375004</v>
      </c>
    </row>
    <row r="17" spans="1:13" x14ac:dyDescent="0.2">
      <c r="A17" s="18"/>
      <c r="B17" s="14"/>
      <c r="C17" s="14"/>
      <c r="D17" s="14" t="s">
        <v>67</v>
      </c>
      <c r="E17" s="26" t="s">
        <v>49</v>
      </c>
      <c r="F17" s="26">
        <v>52.06</v>
      </c>
      <c r="G17" s="27">
        <f>+Datos!C12*Datos!$C$4</f>
        <v>66090.5</v>
      </c>
      <c r="H17" s="27">
        <f t="shared" si="3"/>
        <v>3909.8538977272729</v>
      </c>
      <c r="I17" s="27">
        <f t="shared" si="1"/>
        <v>4.4430157928719014</v>
      </c>
      <c r="J17" s="27">
        <f t="shared" si="2"/>
        <v>2.2215078964359507</v>
      </c>
    </row>
    <row r="18" spans="1:13" x14ac:dyDescent="0.2">
      <c r="A18" s="18"/>
      <c r="B18" s="14"/>
      <c r="C18" s="14"/>
      <c r="D18" s="14" t="s">
        <v>68</v>
      </c>
      <c r="E18" s="26" t="s">
        <v>50</v>
      </c>
      <c r="F18" s="26">
        <v>21.1</v>
      </c>
      <c r="G18" s="27">
        <f>+Datos!C13*Datos!$C$4</f>
        <v>192935</v>
      </c>
      <c r="H18" s="27">
        <f t="shared" si="3"/>
        <v>4626.0551136363638</v>
      </c>
      <c r="I18" s="27">
        <f t="shared" si="1"/>
        <v>5.2568808109504133</v>
      </c>
      <c r="J18" s="27">
        <f t="shared" si="2"/>
        <v>2.6284404054752066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674462.81895596592</v>
      </c>
      <c r="I19" s="29">
        <f t="shared" si="4"/>
        <v>766.43502154087037</v>
      </c>
      <c r="J19" s="29">
        <f t="shared" si="4"/>
        <v>383.21751077043518</v>
      </c>
    </row>
    <row r="20" spans="1:13" ht="18" x14ac:dyDescent="0.25">
      <c r="A20" s="18"/>
      <c r="B20" s="14"/>
      <c r="C20" s="30"/>
      <c r="D20" s="14" t="s">
        <v>69</v>
      </c>
      <c r="E20" s="28" t="s">
        <v>52</v>
      </c>
      <c r="F20" s="28">
        <v>540000</v>
      </c>
      <c r="G20" s="31">
        <f>+Datos!C14</f>
        <v>700</v>
      </c>
      <c r="H20" s="31">
        <f>G20*F20/$H$6</f>
        <v>429545.45454545453</v>
      </c>
      <c r="I20" s="31">
        <f>+H20/$H$6</f>
        <v>488.11983471074376</v>
      </c>
      <c r="J20" s="31">
        <f>I20/2</f>
        <v>244.05991735537188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2" t="s">
        <v>55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opLeftCell="A7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37">
        <v>45243</v>
      </c>
      <c r="D2" s="37">
        <f>+Datos!C2</f>
        <v>45275</v>
      </c>
    </row>
    <row r="3" spans="1:13" x14ac:dyDescent="0.25">
      <c r="A3" s="2" t="s">
        <v>56</v>
      </c>
      <c r="B3" s="2"/>
      <c r="C3" s="44">
        <v>417.3361559211163</v>
      </c>
      <c r="D3" s="44">
        <f>D4+D5</f>
        <v>627.27742812580709</v>
      </c>
      <c r="E3" s="8"/>
      <c r="L3" s="3"/>
      <c r="M3" s="4"/>
    </row>
    <row r="4" spans="1:13" x14ac:dyDescent="0.25">
      <c r="A4" s="5"/>
      <c r="B4" s="6" t="s">
        <v>1</v>
      </c>
      <c r="C4" s="45">
        <v>209.19421487603304</v>
      </c>
      <c r="D4" s="45">
        <f>Insumos!J20</f>
        <v>244.05991735537188</v>
      </c>
      <c r="E4" s="8"/>
      <c r="L4" s="3"/>
      <c r="M4" s="4"/>
    </row>
    <row r="5" spans="1:13" x14ac:dyDescent="0.25">
      <c r="A5" s="6"/>
      <c r="B5" s="6" t="s">
        <v>2</v>
      </c>
      <c r="C5" s="45">
        <v>208.14194104508329</v>
      </c>
      <c r="D5" s="46">
        <f>+Insumos!J19</f>
        <v>383.21751077043518</v>
      </c>
      <c r="E5" s="8"/>
      <c r="L5" s="3"/>
      <c r="M5" s="4"/>
    </row>
    <row r="6" spans="1:13" x14ac:dyDescent="0.25">
      <c r="A6" s="2" t="s">
        <v>3</v>
      </c>
      <c r="B6" s="2"/>
      <c r="C6" s="44">
        <v>442.70390724489801</v>
      </c>
      <c r="D6" s="44">
        <f>D7+D8+D9+D10+D11+D12</f>
        <v>791.10404459183678</v>
      </c>
      <c r="E6" s="8"/>
      <c r="L6" s="3"/>
      <c r="M6" s="4"/>
    </row>
    <row r="7" spans="1:13" x14ac:dyDescent="0.25">
      <c r="A7" s="6" t="s">
        <v>83</v>
      </c>
      <c r="B7" s="6" t="s">
        <v>4</v>
      </c>
      <c r="C7" s="45">
        <v>2.7</v>
      </c>
      <c r="D7" s="45">
        <f>+Datos!C15</f>
        <v>2.7</v>
      </c>
      <c r="E7" s="8"/>
      <c r="L7" s="3"/>
      <c r="M7" s="4"/>
    </row>
    <row r="8" spans="1:13" x14ac:dyDescent="0.25">
      <c r="A8" s="6"/>
      <c r="B8" s="6" t="s">
        <v>5</v>
      </c>
      <c r="C8" s="45">
        <v>7.71973724489796</v>
      </c>
      <c r="D8" s="45">
        <f>+Datos!C20</f>
        <v>7.8881045918367345</v>
      </c>
      <c r="E8" s="8"/>
      <c r="L8" s="3"/>
      <c r="M8" s="4"/>
    </row>
    <row r="9" spans="1:13" x14ac:dyDescent="0.25">
      <c r="A9" s="6" t="s">
        <v>70</v>
      </c>
      <c r="B9" s="6" t="s">
        <v>6</v>
      </c>
      <c r="C9" s="45">
        <v>144.3725</v>
      </c>
      <c r="D9" s="45">
        <f>+Datos!C21*Datos!C4</f>
        <v>324.29500000000002</v>
      </c>
      <c r="E9" s="33" t="s">
        <v>120</v>
      </c>
      <c r="L9" s="3"/>
      <c r="M9" s="4"/>
    </row>
    <row r="10" spans="1:13" x14ac:dyDescent="0.25">
      <c r="A10" s="6" t="s">
        <v>60</v>
      </c>
      <c r="B10" s="6" t="s">
        <v>7</v>
      </c>
      <c r="C10" s="45">
        <v>73.516670000000005</v>
      </c>
      <c r="D10" s="45">
        <f>+Datos!C22*Datos!$C$4</f>
        <v>165.13594000000001</v>
      </c>
      <c r="E10" s="33" t="s">
        <v>120</v>
      </c>
      <c r="L10" s="3"/>
      <c r="M10" s="4"/>
    </row>
    <row r="11" spans="1:13" x14ac:dyDescent="0.25">
      <c r="A11" s="6" t="s">
        <v>58</v>
      </c>
      <c r="B11" s="6" t="s">
        <v>8</v>
      </c>
      <c r="C11" s="45">
        <v>147.52000000000001</v>
      </c>
      <c r="D11" s="45">
        <f>+Datos!C23</f>
        <v>224.21</v>
      </c>
      <c r="E11" s="33"/>
      <c r="L11" s="3"/>
      <c r="M11" s="4"/>
    </row>
    <row r="12" spans="1:13" x14ac:dyDescent="0.25">
      <c r="A12" s="6" t="s">
        <v>59</v>
      </c>
      <c r="B12" s="6" t="s">
        <v>9</v>
      </c>
      <c r="C12" s="45">
        <v>66.875</v>
      </c>
      <c r="D12" s="45">
        <f>+(Datos!C24+Datos!C25)/4</f>
        <v>66.875</v>
      </c>
      <c r="E12" s="33" t="s">
        <v>115</v>
      </c>
      <c r="G12" s="43"/>
      <c r="L12" s="3"/>
      <c r="M12" s="4"/>
    </row>
    <row r="13" spans="1:13" s="38" customFormat="1" x14ac:dyDescent="0.25">
      <c r="A13" s="2" t="s">
        <v>73</v>
      </c>
      <c r="B13" s="2">
        <v>0.2</v>
      </c>
      <c r="C13" s="44">
        <v>172.00801263320287</v>
      </c>
      <c r="D13" s="44">
        <f>+(D3+D6)*$B$13</f>
        <v>283.6762945435288</v>
      </c>
      <c r="G13" s="42"/>
      <c r="L13" s="36"/>
      <c r="M13" s="39"/>
    </row>
    <row r="14" spans="1:13" x14ac:dyDescent="0.25">
      <c r="A14" s="2" t="s">
        <v>10</v>
      </c>
      <c r="B14" s="7"/>
      <c r="C14" s="47">
        <v>536.30471199999999</v>
      </c>
      <c r="D14" s="47">
        <f>D15+D16</f>
        <v>646.88921513599996</v>
      </c>
      <c r="L14" s="3"/>
      <c r="M14" s="4"/>
    </row>
    <row r="15" spans="1:13" x14ac:dyDescent="0.25">
      <c r="A15" s="6"/>
      <c r="B15" s="6" t="s">
        <v>11</v>
      </c>
      <c r="C15" s="45">
        <v>192.55471199999999</v>
      </c>
      <c r="D15" s="45">
        <f>+C15+C15*Datos!C26</f>
        <v>217.20171513599999</v>
      </c>
      <c r="E15" s="8"/>
      <c r="G15" s="41"/>
      <c r="L15" s="3"/>
      <c r="M15" s="4"/>
    </row>
    <row r="16" spans="1:13" x14ac:dyDescent="0.25">
      <c r="A16" s="6"/>
      <c r="B16" s="6" t="s">
        <v>12</v>
      </c>
      <c r="C16" s="45">
        <v>343.75</v>
      </c>
      <c r="D16" s="45">
        <f>+C16*Datos!C27</f>
        <v>429.6875</v>
      </c>
      <c r="E16" s="8"/>
      <c r="G16" s="41"/>
      <c r="L16" s="3"/>
      <c r="M16" s="4"/>
    </row>
    <row r="17" spans="1:13" x14ac:dyDescent="0.25">
      <c r="A17" s="2"/>
      <c r="B17" s="2" t="s">
        <v>13</v>
      </c>
      <c r="C17" s="44">
        <v>1568.3527877992174</v>
      </c>
      <c r="D17" s="44">
        <f>+D3+D6+D13+D14</f>
        <v>2348.9469823971726</v>
      </c>
      <c r="E17" s="65"/>
      <c r="L17" s="3"/>
      <c r="M17" s="4"/>
    </row>
    <row r="18" spans="1:13" x14ac:dyDescent="0.25">
      <c r="A18" s="35"/>
      <c r="B18" s="35"/>
      <c r="C18" s="36"/>
      <c r="D18" s="76"/>
      <c r="G18" s="61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72</v>
      </c>
      <c r="D20" s="36">
        <f>+D17*4</f>
        <v>9395.7879295886905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51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2023-12-19T15:42:34Z</dcterms:modified>
</cp:coreProperties>
</file>