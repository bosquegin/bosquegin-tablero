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32275C91-854E-44F6-800D-65FE5E6683C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6" i="1" l="1"/>
  <c r="D2" i="1" l="1"/>
  <c r="D9" i="1" l="1"/>
  <c r="C6" i="3"/>
  <c r="D15" i="1"/>
  <c r="D12" i="1" l="1"/>
  <c r="C20" i="3"/>
  <c r="G11" i="2" l="1"/>
  <c r="D14" i="1"/>
  <c r="D11" i="1" l="1"/>
  <c r="D10" i="1"/>
  <c r="D7" i="1"/>
  <c r="D8" i="1"/>
  <c r="G20" i="2"/>
  <c r="H20" i="2" s="1"/>
  <c r="D6" i="1" l="1"/>
  <c r="H11" i="2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  <c r="D20" i="1" l="1"/>
</calcChain>
</file>

<file path=xl/sharedStrings.xml><?xml version="1.0" encoding="utf-8"?>
<sst xmlns="http://schemas.openxmlformats.org/spreadsheetml/2006/main" count="157" uniqueCount="119">
  <si>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</si>
  <si>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</si>
  <si>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</si>
  <si>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</si>
  <si>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</si>
  <si>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</si>
  <si>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</si>
  <si>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</si>
  <si>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</si>
  <si>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</si>
  <si>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</si>
  <si>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</si>
  <si>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</si>
  <si>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</si>
  <si>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</si>
  <si>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</si>
  <si>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</si>
  <si>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</si>
  <si>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</si>
  <si>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</si>
  <si>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</si>
  <si>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</si>
  <si>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</si>
  <si>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</si>
  <si>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</si>
  <si>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</si>
  <si>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</si>
  <si>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</si>
  <si>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</si>
  <si>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</si>
  <si>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</si>
  <si>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</si>
  <si>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</si>
  <si>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</si>
  <si>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</si>
  <si>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</si>
  <si>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</si>
  <si>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</si>
  <si>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</si>
  <si>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</si>
  <si>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</si>
  <si>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</si>
  <si>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</si>
  <si>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</si>
  <si>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</si>
  <si>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</si>
  <si>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</si>
  <si>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</si>
  <si>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</si>
  <si>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</si>
  <si>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</si>
  <si>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</si>
  <si>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</si>
  <si>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</si>
  <si>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</si>
  <si>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</si>
  <si>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</si>
  <si>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</si>
  <si>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</si>
  <si>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</si>
  <si>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</si>
  <si>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</si>
  <si>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</si>
  <si>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</si>
  <si>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</si>
  <si>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</si>
  <si>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</si>
  <si>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</si>
  <si>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</si>
  <si>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</si>
  <si>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</si>
  <si>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</si>
  <si>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</si>
  <si>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</si>
  <si>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</si>
  <si>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</si>
  <si>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</si>
  <si>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</si>
  <si>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</si>
  <si>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</si>
  <si>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</si>
  <si>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</si>
  <si>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</si>
  <si>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</si>
  <si>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</si>
  <si>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</si>
  <si>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</si>
  <si>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</si>
  <si>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</si>
  <si>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</si>
  <si>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</si>
  <si>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</si>
  <si>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</si>
  <si>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</si>
  <si>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</si>
  <si>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</si>
  <si>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</si>
  <si>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</si>
  <si>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</si>
  <si>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</si>
  <si>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</si>
  <si>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</si>
  <si>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</si>
  <si>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</si>
  <si>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</si>
  <si>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</si>
  <si>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aumento 03-2023</t>
  </si>
  <si>
    <t>https://www.bna.com.ar/Personas</t>
  </si>
  <si>
    <t>* 25-07</t>
  </si>
  <si>
    <t>GARNIL</t>
  </si>
  <si>
    <t>MELAR</t>
  </si>
  <si>
    <t>Fasonado</t>
  </si>
  <si>
    <t>Servicios e Indirectos</t>
  </si>
  <si>
    <t>IGB014</t>
  </si>
  <si>
    <t>* 05-10</t>
  </si>
  <si>
    <t>* 09-10</t>
  </si>
  <si>
    <t>PEÑON-TAPI desde 10-2023</t>
  </si>
  <si>
    <t>* Aumentos Abril 2023 y Julio 2023 - Octubre 2023 estimado a revisar</t>
  </si>
  <si>
    <t>* estimado a 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</si>
</sst>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7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44" fontId="0" fillId="0" borderId="0" xfId="0" applyNumberFormat="1"/>
    <xf numFmtId="44" fontId="20" fillId="0" borderId="0" xfId="0" applyNumberFormat="1" applyFo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9" fontId="2" fillId="0" borderId="0" xfId="2" applyFont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9" fontId="0" fillId="3" borderId="0" xfId="2" applyFont="1" applyFill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I30"/>
  <sheetViews>
    <sheetView topLeftCell="B12" workbookViewId="0">
      <selection activeCell="I11" sqref="I11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9" x14ac:dyDescent="0.2">
      <c r="C1" t="s">
        <v>76</v>
      </c>
    </row>
    <row r="2" spans="1:9" ht="15" x14ac:dyDescent="0.25">
      <c r="A2" s="38" t="s">
        <v>75</v>
      </c>
      <c r="C2" s="65">
        <v>45210</v>
      </c>
      <c r="D2" s="65"/>
    </row>
    <row r="4" spans="1:9" ht="15" x14ac:dyDescent="0.25">
      <c r="A4" s="38" t="s">
        <v>77</v>
      </c>
      <c r="B4" s="48">
        <v>45210</v>
      </c>
      <c r="C4" s="52">
        <v>365.5</v>
      </c>
      <c r="D4" s="38" t="s">
        <v>103</v>
      </c>
      <c r="E4" s="60" t="s">
        <v>107</v>
      </c>
      <c r="I4" s="61"/>
    </row>
    <row r="5" spans="1:9" x14ac:dyDescent="0.2">
      <c r="A5" t="s">
        <v>61</v>
      </c>
      <c r="B5" s="33" t="s">
        <v>104</v>
      </c>
      <c r="C5" s="63">
        <v>8931.92</v>
      </c>
      <c r="D5" s="50" t="s">
        <v>105</v>
      </c>
      <c r="E5" s="61"/>
    </row>
    <row r="6" spans="1:9" x14ac:dyDescent="0.2">
      <c r="A6" s="33" t="s">
        <v>113</v>
      </c>
      <c r="B6" s="33" t="s">
        <v>101</v>
      </c>
      <c r="C6" s="63">
        <f>44.5*1.1</f>
        <v>48.95</v>
      </c>
      <c r="D6" s="40"/>
      <c r="E6" s="49" t="s">
        <v>109</v>
      </c>
      <c r="F6" s="49" t="s">
        <v>114</v>
      </c>
      <c r="I6" s="62"/>
    </row>
    <row r="7" spans="1:9" x14ac:dyDescent="0.2">
      <c r="A7" t="s">
        <v>63</v>
      </c>
      <c r="B7" t="s">
        <v>44</v>
      </c>
      <c r="C7" s="63">
        <v>1150</v>
      </c>
      <c r="D7" s="40"/>
      <c r="E7" s="49" t="s">
        <v>110</v>
      </c>
      <c r="F7" s="49" t="s">
        <v>115</v>
      </c>
    </row>
    <row r="8" spans="1:9" x14ac:dyDescent="0.2">
      <c r="A8" t="s">
        <v>64</v>
      </c>
      <c r="B8" t="s">
        <v>45</v>
      </c>
      <c r="C8" s="63">
        <v>38796</v>
      </c>
      <c r="D8" s="40"/>
      <c r="E8" s="49" t="s">
        <v>110</v>
      </c>
      <c r="F8" s="49" t="s">
        <v>115</v>
      </c>
    </row>
    <row r="9" spans="1:9" x14ac:dyDescent="0.2">
      <c r="A9" t="s">
        <v>65</v>
      </c>
      <c r="B9" t="s">
        <v>46</v>
      </c>
      <c r="C9" s="63">
        <v>23693</v>
      </c>
      <c r="D9" s="40"/>
      <c r="E9" s="49" t="s">
        <v>110</v>
      </c>
      <c r="F9" s="49" t="s">
        <v>115</v>
      </c>
    </row>
    <row r="10" spans="1:9" x14ac:dyDescent="0.2">
      <c r="A10" t="s">
        <v>66</v>
      </c>
      <c r="B10" t="s">
        <v>47</v>
      </c>
      <c r="C10" s="63">
        <v>2436</v>
      </c>
      <c r="D10" s="40"/>
      <c r="E10" s="49" t="s">
        <v>110</v>
      </c>
      <c r="F10" s="49" t="s">
        <v>108</v>
      </c>
    </row>
    <row r="11" spans="1:9" x14ac:dyDescent="0.2">
      <c r="A11" t="s">
        <v>67</v>
      </c>
      <c r="B11" t="s">
        <v>48</v>
      </c>
      <c r="C11" s="63">
        <v>16404.03</v>
      </c>
      <c r="D11" s="50" t="s">
        <v>105</v>
      </c>
      <c r="E11" s="61"/>
    </row>
    <row r="12" spans="1:9" x14ac:dyDescent="0.2">
      <c r="A12" t="s">
        <v>68</v>
      </c>
      <c r="B12" t="s">
        <v>49</v>
      </c>
      <c r="C12" s="63">
        <v>69.5</v>
      </c>
      <c r="D12" s="40"/>
    </row>
    <row r="13" spans="1:9" x14ac:dyDescent="0.2">
      <c r="A13" t="s">
        <v>69</v>
      </c>
      <c r="B13" t="s">
        <v>50</v>
      </c>
      <c r="C13" s="63">
        <v>81</v>
      </c>
      <c r="D13" s="40"/>
    </row>
    <row r="14" spans="1:9" x14ac:dyDescent="0.2">
      <c r="A14" t="s">
        <v>70</v>
      </c>
      <c r="B14" t="s">
        <v>52</v>
      </c>
      <c r="C14" s="63">
        <v>366</v>
      </c>
      <c r="D14" s="50"/>
      <c r="E14" s="33"/>
    </row>
    <row r="15" spans="1:9" x14ac:dyDescent="0.2">
      <c r="A15" t="s">
        <v>84</v>
      </c>
      <c r="B15" t="s">
        <v>4</v>
      </c>
      <c r="C15" s="63">
        <v>2.7</v>
      </c>
    </row>
    <row r="16" spans="1:9" x14ac:dyDescent="0.2">
      <c r="A16" s="33" t="s">
        <v>93</v>
      </c>
      <c r="B16" t="s">
        <v>85</v>
      </c>
      <c r="C16" s="53">
        <v>1680</v>
      </c>
      <c r="D16" s="33" t="s">
        <v>92</v>
      </c>
    </row>
    <row r="17" spans="1:7" x14ac:dyDescent="0.2">
      <c r="A17" s="33" t="s">
        <v>88</v>
      </c>
      <c r="B17" t="s">
        <v>86</v>
      </c>
      <c r="C17" s="53">
        <v>230</v>
      </c>
      <c r="D17" s="33" t="s">
        <v>90</v>
      </c>
    </row>
    <row r="18" spans="1:7" x14ac:dyDescent="0.2">
      <c r="A18" s="33" t="s">
        <v>94</v>
      </c>
      <c r="B18" s="33" t="s">
        <v>89</v>
      </c>
      <c r="C18" s="63">
        <v>2619.71</v>
      </c>
      <c r="D18" s="33" t="s">
        <v>91</v>
      </c>
    </row>
    <row r="19" spans="1:7" s="43" customFormat="1" ht="15" x14ac:dyDescent="0.25">
      <c r="A19" s="49" t="s">
        <v>95</v>
      </c>
      <c r="B19" s="49" t="s">
        <v>97</v>
      </c>
      <c r="C19" s="64">
        <v>14.35</v>
      </c>
      <c r="D19" s="49" t="s">
        <v>98</v>
      </c>
      <c r="E19" s="49"/>
      <c r="F19" s="49"/>
    </row>
    <row r="20" spans="1:7" s="38" customFormat="1" ht="15" x14ac:dyDescent="0.25">
      <c r="A20" s="49"/>
      <c r="B20" s="49" t="s">
        <v>87</v>
      </c>
      <c r="C20" s="64">
        <f>+(C16/980)+((C17*4)/980)+((C18/4)/980)+(C19/4)</f>
        <v>6.9088545918367341</v>
      </c>
      <c r="D20" s="49"/>
      <c r="E20" s="49"/>
      <c r="F20" s="49"/>
    </row>
    <row r="21" spans="1:7" x14ac:dyDescent="0.2">
      <c r="A21" s="49" t="s">
        <v>71</v>
      </c>
      <c r="B21" s="49" t="s">
        <v>6</v>
      </c>
      <c r="C21" s="64">
        <v>0.39500000000000002</v>
      </c>
      <c r="D21" s="49" t="s">
        <v>100</v>
      </c>
      <c r="E21" s="49" t="s">
        <v>116</v>
      </c>
      <c r="F21" s="49"/>
      <c r="G21" s="62"/>
    </row>
    <row r="22" spans="1:7" x14ac:dyDescent="0.2">
      <c r="A22" t="s">
        <v>60</v>
      </c>
      <c r="B22" t="s">
        <v>7</v>
      </c>
      <c r="C22" s="64">
        <v>28.03</v>
      </c>
      <c r="E22" s="33" t="s">
        <v>105</v>
      </c>
    </row>
    <row r="23" spans="1:7" x14ac:dyDescent="0.2">
      <c r="A23" s="33" t="s">
        <v>58</v>
      </c>
      <c r="B23" t="s">
        <v>8</v>
      </c>
      <c r="C23" s="64">
        <v>147.52000000000001</v>
      </c>
      <c r="D23" s="33" t="s">
        <v>106</v>
      </c>
      <c r="E23" s="33" t="s">
        <v>105</v>
      </c>
      <c r="F23" s="33"/>
    </row>
    <row r="24" spans="1:7" x14ac:dyDescent="0.2">
      <c r="A24" t="s">
        <v>80</v>
      </c>
      <c r="B24" t="s">
        <v>82</v>
      </c>
      <c r="C24" s="64">
        <v>85.35</v>
      </c>
      <c r="D24" s="33" t="s">
        <v>96</v>
      </c>
      <c r="E24" s="33" t="s">
        <v>105</v>
      </c>
    </row>
    <row r="25" spans="1:7" s="49" customFormat="1" x14ac:dyDescent="0.2">
      <c r="A25" s="49" t="s">
        <v>81</v>
      </c>
      <c r="B25" s="49" t="s">
        <v>83</v>
      </c>
      <c r="C25" s="64">
        <v>20.37</v>
      </c>
      <c r="D25" s="49" t="s">
        <v>99</v>
      </c>
      <c r="E25" s="49" t="s">
        <v>105</v>
      </c>
    </row>
    <row r="26" spans="1:7" ht="15" x14ac:dyDescent="0.25">
      <c r="A26" s="38" t="s">
        <v>78</v>
      </c>
      <c r="C26" s="54">
        <v>0.13</v>
      </c>
      <c r="D26" s="33" t="s">
        <v>118</v>
      </c>
    </row>
    <row r="27" spans="1:7" ht="15" x14ac:dyDescent="0.25">
      <c r="A27" s="38" t="s">
        <v>79</v>
      </c>
      <c r="C27" s="55">
        <v>1.25</v>
      </c>
      <c r="D27" s="33" t="s">
        <v>117</v>
      </c>
    </row>
    <row r="29" spans="1:7" x14ac:dyDescent="0.2">
      <c r="A29" t="s">
        <v>112</v>
      </c>
      <c r="C29">
        <v>135</v>
      </c>
    </row>
    <row r="30" spans="1:7" x14ac:dyDescent="0.2">
      <c r="A30" t="s">
        <v>111</v>
      </c>
      <c r="C30">
        <v>250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2" workbookViewId="0">
      <selection activeCell="B25" sqref="B25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7" t="s">
        <v>102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8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7">
        <v>44738</v>
      </c>
      <c r="H8" s="68"/>
      <c r="I8" s="68"/>
      <c r="J8" s="69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8931.92</v>
      </c>
      <c r="H10" s="27">
        <f>G10*F10/$H$6</f>
        <v>97857.81102272727</v>
      </c>
      <c r="I10" s="27">
        <f t="shared" ref="I10:I18" si="1">+H10/$H$6</f>
        <v>111.2020579803719</v>
      </c>
      <c r="J10" s="27">
        <f t="shared" ref="J10:J18" si="2">I10/2</f>
        <v>55.601028990185952</v>
      </c>
    </row>
    <row r="11" spans="1:13" ht="15.75" x14ac:dyDescent="0.25">
      <c r="A11" s="18"/>
      <c r="B11" s="14"/>
      <c r="C11" s="14"/>
      <c r="D11" s="14" t="s">
        <v>62</v>
      </c>
      <c r="E11" s="56" t="s">
        <v>101</v>
      </c>
      <c r="F11" s="26">
        <f t="shared" si="0"/>
        <v>9641.25</v>
      </c>
      <c r="G11" s="27">
        <f>+Datos!C6*Datos!$C$4</f>
        <v>17891.225000000002</v>
      </c>
      <c r="H11" s="27">
        <f t="shared" ref="H11:H18" si="3">G11*F11/$H$6</f>
        <v>196015.65117187504</v>
      </c>
      <c r="I11" s="27">
        <f t="shared" si="1"/>
        <v>222.74505814985801</v>
      </c>
      <c r="J11" s="27">
        <f t="shared" si="2"/>
        <v>111.37252907492901</v>
      </c>
    </row>
    <row r="12" spans="1:13" x14ac:dyDescent="0.2">
      <c r="A12" s="18"/>
      <c r="B12" s="14"/>
      <c r="C12" s="14"/>
      <c r="D12" s="14" t="s">
        <v>63</v>
      </c>
      <c r="E12" s="26" t="s">
        <v>44</v>
      </c>
      <c r="F12" s="26">
        <v>3857.5</v>
      </c>
      <c r="G12" s="27">
        <f>+Datos!C7</f>
        <v>1150</v>
      </c>
      <c r="H12" s="27">
        <f t="shared" si="3"/>
        <v>5041.051136363636</v>
      </c>
      <c r="I12" s="27">
        <f t="shared" si="1"/>
        <v>5.7284672004132231</v>
      </c>
      <c r="J12" s="27">
        <f t="shared" si="2"/>
        <v>2.8642336002066116</v>
      </c>
    </row>
    <row r="13" spans="1:13" x14ac:dyDescent="0.2">
      <c r="A13" s="18"/>
      <c r="B13" s="14"/>
      <c r="C13" s="14"/>
      <c r="D13" s="14" t="s">
        <v>64</v>
      </c>
      <c r="E13" s="26" t="s">
        <v>45</v>
      </c>
      <c r="F13" s="26">
        <v>61.5</v>
      </c>
      <c r="G13" s="27">
        <f>+Datos!C8</f>
        <v>38796</v>
      </c>
      <c r="H13" s="27">
        <f t="shared" si="3"/>
        <v>2711.3113636363637</v>
      </c>
      <c r="I13" s="27">
        <f t="shared" si="1"/>
        <v>3.0810356404958679</v>
      </c>
      <c r="J13" s="27">
        <f t="shared" si="2"/>
        <v>1.5405178202479339</v>
      </c>
    </row>
    <row r="14" spans="1:13" x14ac:dyDescent="0.2">
      <c r="A14" s="18"/>
      <c r="B14" s="14"/>
      <c r="C14" s="14"/>
      <c r="D14" s="14" t="s">
        <v>65</v>
      </c>
      <c r="E14" s="26" t="s">
        <v>46</v>
      </c>
      <c r="F14" s="26">
        <v>41.25</v>
      </c>
      <c r="G14" s="27">
        <f>+Datos!C9</f>
        <v>23693</v>
      </c>
      <c r="H14" s="27">
        <f t="shared" si="3"/>
        <v>1110.609375</v>
      </c>
      <c r="I14" s="27">
        <f t="shared" si="1"/>
        <v>1.2620561079545454</v>
      </c>
      <c r="J14" s="27">
        <f t="shared" si="2"/>
        <v>0.63102805397727268</v>
      </c>
    </row>
    <row r="15" spans="1:13" x14ac:dyDescent="0.2">
      <c r="A15" s="18"/>
      <c r="B15" s="14"/>
      <c r="C15" s="14"/>
      <c r="D15" s="14" t="s">
        <v>66</v>
      </c>
      <c r="E15" s="26" t="s">
        <v>47</v>
      </c>
      <c r="F15" s="26">
        <v>900</v>
      </c>
      <c r="G15" s="27">
        <f>+Datos!C10</f>
        <v>2436</v>
      </c>
      <c r="H15" s="27">
        <f t="shared" si="3"/>
        <v>2491.3636363636365</v>
      </c>
      <c r="I15" s="27">
        <f t="shared" si="1"/>
        <v>2.8310950413223144</v>
      </c>
      <c r="J15" s="27">
        <f t="shared" si="2"/>
        <v>1.4155475206611572</v>
      </c>
    </row>
    <row r="16" spans="1:13" x14ac:dyDescent="0.2">
      <c r="A16" s="18"/>
      <c r="B16" s="14"/>
      <c r="C16" s="14"/>
      <c r="D16" s="14" t="s">
        <v>67</v>
      </c>
      <c r="E16" s="26" t="s">
        <v>48</v>
      </c>
      <c r="F16" s="26">
        <v>514.25</v>
      </c>
      <c r="G16" s="27">
        <f>+Datos!C11</f>
        <v>16404.03</v>
      </c>
      <c r="H16" s="27">
        <f t="shared" si="3"/>
        <v>9586.105031250001</v>
      </c>
      <c r="I16" s="27">
        <f t="shared" si="1"/>
        <v>10.893301171875001</v>
      </c>
      <c r="J16" s="27">
        <f t="shared" si="2"/>
        <v>5.4466505859375003</v>
      </c>
    </row>
    <row r="17" spans="1:13" x14ac:dyDescent="0.2">
      <c r="A17" s="18"/>
      <c r="B17" s="14"/>
      <c r="C17" s="14"/>
      <c r="D17" s="14" t="s">
        <v>68</v>
      </c>
      <c r="E17" s="26" t="s">
        <v>49</v>
      </c>
      <c r="F17" s="26">
        <v>52.06</v>
      </c>
      <c r="G17" s="27">
        <f>+Datos!C12*Datos!$C$4</f>
        <v>25402.25</v>
      </c>
      <c r="H17" s="27">
        <f t="shared" si="3"/>
        <v>1502.7740170454545</v>
      </c>
      <c r="I17" s="27">
        <f t="shared" si="1"/>
        <v>1.7076977466425618</v>
      </c>
      <c r="J17" s="27">
        <f t="shared" si="2"/>
        <v>0.8538488733212809</v>
      </c>
    </row>
    <row r="18" spans="1:13" x14ac:dyDescent="0.2">
      <c r="A18" s="18"/>
      <c r="B18" s="14"/>
      <c r="C18" s="14"/>
      <c r="D18" s="14" t="s">
        <v>69</v>
      </c>
      <c r="E18" s="26" t="s">
        <v>50</v>
      </c>
      <c r="F18" s="26">
        <v>21.1</v>
      </c>
      <c r="G18" s="27">
        <f>+Datos!C13*Datos!$C$4</f>
        <v>29605.5</v>
      </c>
      <c r="H18" s="27">
        <f t="shared" si="3"/>
        <v>709.85914772727278</v>
      </c>
      <c r="I18" s="27">
        <f t="shared" si="1"/>
        <v>0.80665812241735546</v>
      </c>
      <c r="J18" s="27">
        <f t="shared" si="2"/>
        <v>0.40332906120867773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317026.53590198862</v>
      </c>
      <c r="I19" s="29">
        <f t="shared" si="4"/>
        <v>360.25742716135079</v>
      </c>
      <c r="J19" s="29">
        <f t="shared" si="4"/>
        <v>180.1287135806754</v>
      </c>
    </row>
    <row r="20" spans="1:13" ht="18" x14ac:dyDescent="0.25">
      <c r="A20" s="18"/>
      <c r="B20" s="14"/>
      <c r="C20" s="30"/>
      <c r="D20" s="14" t="s">
        <v>70</v>
      </c>
      <c r="E20" s="28" t="s">
        <v>52</v>
      </c>
      <c r="F20" s="28">
        <v>540000</v>
      </c>
      <c r="G20" s="31">
        <f>+Datos!C14</f>
        <v>366</v>
      </c>
      <c r="H20" s="31">
        <f>G20*F20/$H$6</f>
        <v>224590.90909090909</v>
      </c>
      <c r="I20" s="31">
        <f>+H20/$H$6</f>
        <v>255.21694214876032</v>
      </c>
      <c r="J20" s="31">
        <f>I20/2</f>
        <v>127.60847107438016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70" t="s">
        <v>55</v>
      </c>
      <c r="E23" s="71"/>
      <c r="F23" s="71"/>
      <c r="G23" s="71"/>
      <c r="H23" s="71"/>
      <c r="I23" s="71"/>
      <c r="J23" s="71"/>
      <c r="K23" s="71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7" workbookViewId="0">
      <selection activeCell="E16" sqref="E16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37">
        <v>45180</v>
      </c>
      <c r="D2" s="37">
        <f>+Datos!C2</f>
        <v>45210</v>
      </c>
    </row>
    <row r="3" spans="1:13" x14ac:dyDescent="0.25">
      <c r="A3" s="2" t="s">
        <v>56</v>
      </c>
      <c r="B3" s="2"/>
      <c r="C3" s="44">
        <v>291.20256332725336</v>
      </c>
      <c r="D3" s="44">
        <f>D4+D5</f>
        <v>307.73718465505556</v>
      </c>
      <c r="E3" s="8"/>
      <c r="L3" s="3"/>
      <c r="M3" s="4"/>
    </row>
    <row r="4" spans="1:13" x14ac:dyDescent="0.25">
      <c r="A4" s="5"/>
      <c r="B4" s="6" t="s">
        <v>1</v>
      </c>
      <c r="C4" s="45">
        <v>117.14876033057851</v>
      </c>
      <c r="D4" s="45">
        <f>Insumos!J20</f>
        <v>127.60847107438016</v>
      </c>
      <c r="E4" s="8"/>
      <c r="L4" s="3"/>
      <c r="M4" s="4"/>
    </row>
    <row r="5" spans="1:13" x14ac:dyDescent="0.25">
      <c r="A5" s="6"/>
      <c r="B5" s="6" t="s">
        <v>2</v>
      </c>
      <c r="C5" s="45">
        <v>174.05380299667485</v>
      </c>
      <c r="D5" s="46">
        <f>+Insumos!J19</f>
        <v>180.1287135806754</v>
      </c>
      <c r="E5" s="8"/>
      <c r="L5" s="3"/>
      <c r="M5" s="4"/>
    </row>
    <row r="6" spans="1:13" x14ac:dyDescent="0.25">
      <c r="A6" s="2" t="s">
        <v>3</v>
      </c>
      <c r="B6" s="2"/>
      <c r="C6" s="44">
        <v>280.74972193877551</v>
      </c>
      <c r="D6" s="44">
        <f>D7+D8+D9+D10+D11+D12</f>
        <v>355.96135459183677</v>
      </c>
      <c r="E6" s="8"/>
      <c r="L6" s="3"/>
      <c r="M6" s="4"/>
    </row>
    <row r="7" spans="1:13" x14ac:dyDescent="0.25">
      <c r="A7" s="6" t="s">
        <v>84</v>
      </c>
      <c r="B7" s="6" t="s">
        <v>4</v>
      </c>
      <c r="C7" s="45">
        <v>2.4</v>
      </c>
      <c r="D7" s="45">
        <f>+Datos!C15</f>
        <v>2.7</v>
      </c>
      <c r="E7" s="8"/>
      <c r="L7" s="3"/>
      <c r="M7" s="4"/>
    </row>
    <row r="8" spans="1:13" x14ac:dyDescent="0.25">
      <c r="A8" s="6"/>
      <c r="B8" s="6" t="s">
        <v>5</v>
      </c>
      <c r="C8" s="45">
        <v>6.7397219387755101</v>
      </c>
      <c r="D8" s="45">
        <f>+Datos!C20</f>
        <v>6.9088545918367341</v>
      </c>
      <c r="E8" s="8"/>
      <c r="L8" s="3"/>
      <c r="M8" s="4"/>
    </row>
    <row r="9" spans="1:13" x14ac:dyDescent="0.25">
      <c r="A9" s="6" t="s">
        <v>71</v>
      </c>
      <c r="B9" s="6" t="s">
        <v>6</v>
      </c>
      <c r="C9" s="45">
        <v>69.63</v>
      </c>
      <c r="D9" s="45">
        <f>+Datos!C21*Datos!C4</f>
        <v>144.3725</v>
      </c>
      <c r="E9" s="33"/>
      <c r="L9" s="3"/>
      <c r="M9" s="4"/>
    </row>
    <row r="10" spans="1:13" x14ac:dyDescent="0.25">
      <c r="A10" s="6" t="s">
        <v>60</v>
      </c>
      <c r="B10" s="6" t="s">
        <v>7</v>
      </c>
      <c r="C10" s="45">
        <v>28.03</v>
      </c>
      <c r="D10" s="45">
        <f>+Datos!C22</f>
        <v>28.03</v>
      </c>
      <c r="E10" s="33"/>
      <c r="L10" s="3"/>
      <c r="M10" s="4"/>
    </row>
    <row r="11" spans="1:13" x14ac:dyDescent="0.25">
      <c r="A11" s="6" t="s">
        <v>58</v>
      </c>
      <c r="B11" s="6" t="s">
        <v>8</v>
      </c>
      <c r="C11" s="45">
        <v>147.52000000000001</v>
      </c>
      <c r="D11" s="45">
        <f>+Datos!C23</f>
        <v>147.52000000000001</v>
      </c>
      <c r="E11" s="33"/>
      <c r="L11" s="3"/>
      <c r="M11" s="4"/>
    </row>
    <row r="12" spans="1:13" x14ac:dyDescent="0.25">
      <c r="A12" s="6" t="s">
        <v>59</v>
      </c>
      <c r="B12" s="6" t="s">
        <v>9</v>
      </c>
      <c r="C12" s="45">
        <v>26.43</v>
      </c>
      <c r="D12" s="45">
        <f>+(Datos!C24+Datos!C25)/4</f>
        <v>26.43</v>
      </c>
      <c r="E12" s="33"/>
      <c r="G12" s="43"/>
      <c r="L12" s="3"/>
      <c r="M12" s="4"/>
    </row>
    <row r="13" spans="1:13" s="38" customFormat="1" x14ac:dyDescent="0.25">
      <c r="A13" s="2" t="s">
        <v>74</v>
      </c>
      <c r="B13" s="2">
        <v>0.2</v>
      </c>
      <c r="C13" s="44">
        <v>114.39045705320578</v>
      </c>
      <c r="D13" s="44">
        <f>+(D3+D6)*$B$13</f>
        <v>132.73970784937848</v>
      </c>
      <c r="G13" s="42"/>
      <c r="L13" s="36"/>
      <c r="M13" s="39"/>
    </row>
    <row r="14" spans="1:13" x14ac:dyDescent="0.25">
      <c r="A14" s="2" t="s">
        <v>10</v>
      </c>
      <c r="B14" s="7"/>
      <c r="C14" s="47">
        <v>401.2</v>
      </c>
      <c r="D14" s="47">
        <f>D15+D16</f>
        <v>483.35599999999999</v>
      </c>
      <c r="L14" s="3"/>
      <c r="M14" s="4"/>
    </row>
    <row r="15" spans="1:13" x14ac:dyDescent="0.25">
      <c r="A15" s="6"/>
      <c r="B15" s="6" t="s">
        <v>11</v>
      </c>
      <c r="C15" s="45">
        <v>151.19999999999999</v>
      </c>
      <c r="D15" s="45">
        <f>+C15+C15*Datos!C26</f>
        <v>170.85599999999999</v>
      </c>
      <c r="E15" s="8"/>
      <c r="G15" s="41"/>
      <c r="L15" s="3"/>
      <c r="M15" s="4"/>
    </row>
    <row r="16" spans="1:13" x14ac:dyDescent="0.25">
      <c r="A16" s="6"/>
      <c r="B16" s="6" t="s">
        <v>12</v>
      </c>
      <c r="C16" s="45">
        <v>250</v>
      </c>
      <c r="D16" s="45">
        <f>+C16*Datos!C27</f>
        <v>312.5</v>
      </c>
      <c r="E16" s="8"/>
      <c r="G16" s="41"/>
      <c r="L16" s="3"/>
      <c r="M16" s="4"/>
    </row>
    <row r="17" spans="1:13" x14ac:dyDescent="0.25">
      <c r="A17" s="2"/>
      <c r="B17" s="2" t="s">
        <v>13</v>
      </c>
      <c r="C17" s="44">
        <v>1087.5427423192345</v>
      </c>
      <c r="D17" s="44">
        <f>+D3+D6+D13+D14</f>
        <v>1279.7942470962707</v>
      </c>
      <c r="E17" s="66"/>
      <c r="L17" s="3"/>
      <c r="M17" s="4"/>
    </row>
    <row r="18" spans="1:13" x14ac:dyDescent="0.25">
      <c r="A18" s="35"/>
      <c r="B18" s="35"/>
      <c r="C18" s="36"/>
      <c r="D18" s="59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73</v>
      </c>
      <c r="D20" s="36">
        <f>+D17*4</f>
        <v>5119.176988385083</v>
      </c>
      <c r="L20" s="3"/>
      <c r="M20" s="4"/>
    </row>
    <row r="21" spans="1:13" x14ac:dyDescent="0.25">
      <c r="D21" s="34"/>
    </row>
    <row r="22" spans="1:13" ht="15" customHeight="1" x14ac:dyDescent="0.25">
      <c r="A22" s="73" t="s">
        <v>14</v>
      </c>
      <c r="B22" s="71"/>
      <c r="C22" s="71"/>
      <c r="D22" s="51"/>
      <c r="E22" s="9"/>
      <c r="F22" s="9"/>
      <c r="G22" s="9"/>
    </row>
    <row r="23" spans="1:13" ht="15" customHeight="1" x14ac:dyDescent="0.25">
      <c r="A23" s="72" t="s">
        <v>15</v>
      </c>
      <c r="B23" s="71"/>
      <c r="C23" s="71"/>
      <c r="D23" s="10"/>
      <c r="E23" s="10"/>
      <c r="F23" s="10"/>
      <c r="G23" s="10"/>
    </row>
    <row r="24" spans="1:13" ht="15" customHeight="1" x14ac:dyDescent="0.25">
      <c r="A24" s="72" t="s">
        <v>16</v>
      </c>
      <c r="B24" s="71"/>
      <c r="C24" s="71"/>
      <c r="D24" s="10"/>
      <c r="E24" s="10"/>
      <c r="F24" s="10"/>
      <c r="G24" s="10"/>
    </row>
    <row r="25" spans="1:13" ht="30.75" customHeight="1" x14ac:dyDescent="0.25">
      <c r="A25" s="72" t="s">
        <v>17</v>
      </c>
      <c r="B25" s="71"/>
      <c r="C25" s="71"/>
      <c r="D25" s="10"/>
      <c r="E25" s="10"/>
      <c r="F25" s="10"/>
      <c r="G25" s="10"/>
    </row>
    <row r="26" spans="1:13" ht="15" customHeight="1" x14ac:dyDescent="0.25">
      <c r="A26" s="72" t="s">
        <v>18</v>
      </c>
      <c r="B26" s="71"/>
      <c r="C26" s="71"/>
      <c r="D26" s="10"/>
      <c r="E26" s="10"/>
      <c r="F26" s="10"/>
      <c r="G26" s="10"/>
    </row>
    <row r="27" spans="1:13" ht="15" customHeight="1" x14ac:dyDescent="0.25">
      <c r="A27" s="72" t="s">
        <v>19</v>
      </c>
      <c r="B27" s="71"/>
      <c r="C27" s="71"/>
      <c r="D27" s="10"/>
      <c r="E27" s="10"/>
      <c r="F27" s="10"/>
      <c r="G27" s="10"/>
    </row>
    <row r="28" spans="1:13" ht="15" customHeight="1" x14ac:dyDescent="0.25">
      <c r="A28" s="72" t="s">
        <v>20</v>
      </c>
      <c r="B28" s="71"/>
      <c r="C28" s="71"/>
      <c r="D28" s="10"/>
      <c r="E28" s="10"/>
      <c r="F28" s="10"/>
      <c r="G28" s="10"/>
    </row>
    <row r="29" spans="1:13" ht="15" customHeight="1" x14ac:dyDescent="0.25">
      <c r="A29" s="72" t="s">
        <v>21</v>
      </c>
      <c r="B29" s="71"/>
      <c r="C29" s="71"/>
      <c r="D29" s="10"/>
      <c r="E29" s="10"/>
      <c r="F29" s="10"/>
      <c r="G29" s="10"/>
    </row>
    <row r="30" spans="1:13" ht="16.5" customHeight="1" x14ac:dyDescent="0.25">
      <c r="A30" s="72" t="s">
        <v>22</v>
      </c>
      <c r="B30" s="71"/>
      <c r="C30" s="71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72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2023-10-11T13:54:32Z</dcterms:modified>
</cp:coreProperties>
</file>