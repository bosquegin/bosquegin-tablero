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Recetas\Informacion\PEÑON\"/>
    </mc:Choice>
  </mc:AlternateContent>
  <xr:revisionPtr revIDLastSave="0" documentId="13_ncr:1_{15EDE257-9A80-49E8-B35C-C102F68B858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os" sheetId="3" r:id="rId1"/>
    <sheet name="Costeo" sheetId="1" r:id="rId2"/>
    <sheet name="Insumos" sheetId="2" r:id="rId3"/>
  </sheets>
  <calcPr calcId="181029"/>
  <extLs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D17" i="1" l="1"/>
  <c r="F39" i="3"/>
  <c r="D15" i="1"/>
  <c r="G20" i="2"/>
  <c r="C35" i="3" l="1"/>
  <c r="D16" i="1" l="1"/>
  <c r="D12" i="1"/>
  <c r="D11" i="1"/>
  <c r="D10" i="1"/>
  <c r="D9" i="1"/>
  <c r="D7" i="1"/>
  <c r="G11" i="2"/>
  <c r="G10" i="2"/>
  <c r="D8" i="1"/>
  <c r="G18" i="2"/>
  <c r="G17" i="2"/>
  <c r="G16" i="2"/>
  <c r="G15" i="2"/>
  <c r="G14" i="2"/>
  <c r="G13" i="2"/>
  <c r="G12" i="2"/>
  <c r="C17" i="1"/>
  <c r="D2" i="1"/>
  <c r="C2" i="1"/>
  <c r="D14" i="1" l="1"/>
  <c r="D6" i="1"/>
  <c r="H20" i="2"/>
  <c r="I20" i="2" s="1"/>
  <c r="J20" i="2" s="1"/>
  <c r="D4" i="1" s="1"/>
  <c r="H18" i="2"/>
  <c r="I18" i="2" s="1"/>
  <c r="J18" i="2" s="1"/>
  <c r="H17" i="2"/>
  <c r="I17" i="2" s="1"/>
  <c r="J17" i="2" s="1"/>
  <c r="H16" i="2"/>
  <c r="I16" i="2" s="1"/>
  <c r="J16" i="2" s="1"/>
  <c r="H15" i="2"/>
  <c r="I15" i="2" s="1"/>
  <c r="J15" i="2" s="1"/>
  <c r="H14" i="2"/>
  <c r="I14" i="2" s="1"/>
  <c r="J14" i="2" s="1"/>
  <c r="H13" i="2"/>
  <c r="I13" i="2" s="1"/>
  <c r="J13" i="2" s="1"/>
  <c r="H12" i="2"/>
  <c r="I12" i="2" s="1"/>
  <c r="J12" i="2" s="1"/>
  <c r="F11" i="2"/>
  <c r="H11" i="2" s="1"/>
  <c r="I11" i="2" s="1"/>
  <c r="J11" i="2" s="1"/>
  <c r="F10" i="2"/>
  <c r="H10" i="2" s="1"/>
  <c r="H19" i="2" l="1"/>
  <c r="I10" i="2"/>
  <c r="F19" i="2"/>
  <c r="J10" i="2" l="1"/>
  <c r="J19" i="2" s="1"/>
  <c r="D5" i="1" s="1"/>
  <c r="D3" i="1" s="1"/>
  <c r="D13" i="1" s="1"/>
  <c r="I19" i="2"/>
  <c r="D20" i="1" l="1"/>
</calcChain>
</file>

<file path=xl/sharedStrings.xml><?xml version="1.0" encoding="utf-8"?>
<sst xmlns="http://schemas.openxmlformats.org/spreadsheetml/2006/main" count="141" uniqueCount="111">
  <si>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</si>
  <si>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</si>
  <si>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</si>
  <si>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</si>
  <si>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</si>
  <si>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</si>
  <si>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</si>
  <si>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</si>
  <si>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</si>
  <si>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</si>
  <si>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</si>
  <si>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</si>
  <si>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</si>
  <si>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</si>
  <si>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</si>
  <si>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</si>
  <si>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</si>
  <si>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</si>
  <si>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</si>
  <si>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</si>
  <si>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</si>
  <si>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</si>
  <si>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</si>
  <si>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</si>
  <si>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</si>
  <si>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</si>
  <si>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</si>
  <si>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</si>
  <si>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Gin Bosque</t>
  </si>
  <si>
    <t>Alcohol 96% en el Macerador:</t>
  </si>
  <si>
    <t>Pink</t>
  </si>
  <si>
    <t>Roble</t>
  </si>
  <si>
    <t>MACERACIÓN:</t>
  </si>
  <si>
    <t>Sí</t>
  </si>
  <si>
    <t>Litros resultantes/batch</t>
  </si>
  <si>
    <t>Gin terminado (42%)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</si>
  <si>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</si>
  <si>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</si>
  <si>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</si>
  <si>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</si>
  <si>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</si>
  <si>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</si>
  <si>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</si>
  <si>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</si>
  <si>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Enebro Polaco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</si>
  <si>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</si>
  <si>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</si>
  <si>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</si>
  <si>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</si>
  <si>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</si>
  <si>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</si>
  <si>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</si>
  <si>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</si>
  <si>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</si>
  <si>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</si>
  <si>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</si>
  <si>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</si>
  <si>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</si>
  <si>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</si>
  <si>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</si>
  <si>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</si>
  <si>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</si>
  <si>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</si>
  <si>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ICB018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</si>
  <si>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</si>
  <si>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</si>
  <si>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</si>
  <si>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</si>
  <si>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</si>
  <si>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</si>
  <si>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</si>
  <si>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</si>
  <si>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</si>
  <si>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</si>
  <si>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</si>
  <si>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* aumento 18% sueldos Julio</t>
  </si>
  <si>
    <t>Otros Costos - 20% s/ Insumos</t>
  </si>
  <si>
    <t>Cotización</t>
  </si>
  <si>
    <t>Fecha Anterior</t>
  </si>
  <si>
    <t>Fecha Nueva</t>
  </si>
  <si>
    <t>Copiar Valores mes anterior columna D y pegar en C</t>
  </si>
  <si>
    <t>Tipo de Cambio</t>
  </si>
  <si>
    <t>Inflación s/INDEC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</si>
  <si>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</si>
  <si>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</si>
  <si>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</si>
  <si>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</si>
  <si>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</si>
  <si>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</si>
  <si>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</si>
  <si>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</si>
  <si>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</si>
  <si>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</si>
  <si>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</si>
  <si>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</si>
  <si>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</si>
  <si>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</si>
  <si>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</si>
  <si>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</si>
  <si>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</si>
  <si>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</si>
  <si>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</si>
  <si>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Para Gin Tonic</t>
  </si>
  <si>
    <t>* 2 x caja - 4 Botellas (de 1 etiqueta salen 2)</t>
  </si>
  <si>
    <t>* 1 separador por caja</t>
  </si>
  <si>
    <t>* incluye 2 etiquetas por caja por cod viejo</t>
  </si>
  <si>
    <t>para comparativa mes anterior</t>
  </si>
  <si>
    <t>* sin aumento Agosto</t>
  </si>
  <si>
    <t>* Ej. Al 30/09 - tomar Agosto</t>
  </si>
  <si>
    <t>*7% inflación indec (Agosto)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</si>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</sst>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</numFmts>
  <fonts count="23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21" fillId="0" borderId="0" applyFont="0" applyFill="0" applyBorder="0" applyAlignment="0" applyProtection="0"/>
  </cellStyleXfs>
  <cellXfs count="74">
    <xf numFmtId="0" fontId="0" fillId="0" borderId="0" xfId="0"/>
    <xf numFmtId="0" fontId="1" fillId="0" borderId="0" xfId="0" applyFont="1"/>
    <xf numFmtId="0" fontId="2" fillId="0" borderId="1" xfId="0" applyFont="1" applyBorder="1"/>
    <xf numFmtId="165" fontId="2" fillId="0" borderId="1" xfId="0" applyNumberFormat="1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165" fontId="1" fillId="0" borderId="1" xfId="0" applyNumberFormat="1" applyFont="1" applyBorder="1"/>
    <xf numFmtId="166" fontId="2" fillId="0" borderId="1" xfId="0" applyNumberFormat="1" applyFont="1" applyBorder="1"/>
    <xf numFmtId="166" fontId="1" fillId="0" borderId="1" xfId="0" applyNumberFormat="1" applyFont="1" applyBorder="1"/>
    <xf numFmtId="0" fontId="4" fillId="0" borderId="1" xfId="0" applyFont="1" applyBorder="1"/>
    <xf numFmtId="165" fontId="4" fillId="0" borderId="1" xfId="0" applyNumberFormat="1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44" fontId="2" fillId="0" borderId="0" xfId="0" applyNumberFormat="1" applyFont="1" applyAlignment="1">
      <alignment horizontal="left"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14" fontId="0" fillId="0" borderId="0" xfId="0" applyNumberFormat="1"/>
    <xf numFmtId="14" fontId="2" fillId="2" borderId="1" xfId="0" applyNumberFormat="1" applyFont="1" applyFill="1" applyBorder="1"/>
    <xf numFmtId="43" fontId="0" fillId="0" borderId="0" xfId="1" applyFont="1" applyAlignment="1"/>
    <xf numFmtId="14" fontId="0" fillId="2" borderId="0" xfId="0" applyNumberFormat="1" applyFill="1"/>
    <xf numFmtId="44" fontId="0" fillId="0" borderId="0" xfId="0" applyNumberFormat="1"/>
    <xf numFmtId="44" fontId="20" fillId="0" borderId="0" xfId="0" applyNumberFormat="1" applyFont="1"/>
    <xf numFmtId="10" fontId="0" fillId="2" borderId="0" xfId="0" applyNumberFormat="1" applyFill="1"/>
    <xf numFmtId="43" fontId="0" fillId="2" borderId="0" xfId="1" applyFont="1" applyFill="1" applyAlignment="1"/>
    <xf numFmtId="43" fontId="20" fillId="2" borderId="0" xfId="1" applyFont="1" applyFill="1" applyAlignment="1"/>
    <xf numFmtId="0" fontId="22" fillId="0" borderId="0" xfId="0" applyFont="1"/>
    <xf numFmtId="43" fontId="22" fillId="2" borderId="0" xfId="1" applyFont="1" applyFill="1" applyAlignme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43" fontId="15" fillId="2" borderId="0" xfId="1" applyFont="1" applyFill="1" applyAlignment="1"/>
    <xf numFmtId="43" fontId="19" fillId="0" borderId="0" xfId="1" applyFont="1" applyAlignment="1"/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/>
    <xf numFmtId="0" fontId="2" fillId="0" borderId="0" xfId="0" applyFont="1" applyAlignment="1">
      <alignment horizontal="left" wrapText="1"/>
    </xf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  <xf numFmtId="43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F42"/>
  <sheetViews>
    <sheetView topLeftCell="A24" workbookViewId="0">
      <selection activeCell="G39" sqref="G39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4" x14ac:dyDescent="0.2">
      <c r="C1" t="s">
        <v>78</v>
      </c>
      <c r="D1" t="s">
        <v>79</v>
      </c>
    </row>
    <row r="2" spans="1:4" ht="15" x14ac:dyDescent="0.25">
      <c r="A2" s="44" t="s">
        <v>77</v>
      </c>
      <c r="C2" s="49">
        <v>44805</v>
      </c>
      <c r="D2" s="49">
        <v>44835</v>
      </c>
    </row>
    <row r="3" spans="1:4" x14ac:dyDescent="0.2">
      <c r="C3" s="46"/>
      <c r="D3" s="46"/>
    </row>
    <row r="4" spans="1:4" x14ac:dyDescent="0.2">
      <c r="A4" s="65" t="s">
        <v>80</v>
      </c>
      <c r="B4" s="65"/>
      <c r="C4" s="48">
        <v>103.73716852083334</v>
      </c>
    </row>
    <row r="5" spans="1:4" x14ac:dyDescent="0.2">
      <c r="A5" s="38" t="s">
        <v>106</v>
      </c>
      <c r="C5" s="48">
        <v>40.799999999999997</v>
      </c>
    </row>
    <row r="6" spans="1:4" x14ac:dyDescent="0.2">
      <c r="C6" s="48">
        <v>62.937168520833346</v>
      </c>
    </row>
    <row r="7" spans="1:4" x14ac:dyDescent="0.2">
      <c r="C7" s="48">
        <v>164.9744642857143</v>
      </c>
    </row>
    <row r="8" spans="1:4" x14ac:dyDescent="0.2">
      <c r="C8" s="48">
        <v>0.95</v>
      </c>
    </row>
    <row r="9" spans="1:4" x14ac:dyDescent="0.2">
      <c r="C9" s="48">
        <v>5.1144642857142859</v>
      </c>
    </row>
    <row r="10" spans="1:4" x14ac:dyDescent="0.2">
      <c r="C10" s="48">
        <v>50.7</v>
      </c>
    </row>
    <row r="11" spans="1:4" x14ac:dyDescent="0.2">
      <c r="C11" s="48">
        <v>20.6</v>
      </c>
    </row>
    <row r="12" spans="1:4" x14ac:dyDescent="0.2">
      <c r="C12" s="48">
        <v>66.36</v>
      </c>
    </row>
    <row r="13" spans="1:4" x14ac:dyDescent="0.2">
      <c r="C13" s="48">
        <v>21.25</v>
      </c>
    </row>
    <row r="14" spans="1:4" x14ac:dyDescent="0.2">
      <c r="C14" s="48">
        <v>53.742326561309532</v>
      </c>
    </row>
    <row r="15" spans="1:4" x14ac:dyDescent="0.2">
      <c r="C15" s="48">
        <v>92.946970168403652</v>
      </c>
    </row>
    <row r="16" spans="1:4" x14ac:dyDescent="0.2">
      <c r="C16" s="48">
        <v>43.280770168403656</v>
      </c>
    </row>
    <row r="17" spans="1:4" x14ac:dyDescent="0.2">
      <c r="C17" s="48">
        <v>49.666199999999996</v>
      </c>
    </row>
    <row r="19" spans="1:4" ht="15" x14ac:dyDescent="0.25">
      <c r="A19" s="44" t="s">
        <v>81</v>
      </c>
      <c r="B19" s="61">
        <v>44840</v>
      </c>
      <c r="C19" s="54">
        <v>155.25</v>
      </c>
      <c r="D19" s="44"/>
    </row>
    <row r="20" spans="1:4" x14ac:dyDescent="0.2">
      <c r="A20" t="s">
        <v>62</v>
      </c>
      <c r="B20" t="s">
        <v>43</v>
      </c>
      <c r="C20" s="53">
        <v>4860</v>
      </c>
      <c r="D20" s="48"/>
    </row>
    <row r="21" spans="1:4" x14ac:dyDescent="0.2">
      <c r="A21" t="s">
        <v>63</v>
      </c>
      <c r="B21" t="s">
        <v>44</v>
      </c>
      <c r="C21" s="53">
        <v>6300</v>
      </c>
      <c r="D21" s="48"/>
    </row>
    <row r="22" spans="1:4" x14ac:dyDescent="0.2">
      <c r="A22" t="s">
        <v>64</v>
      </c>
      <c r="B22" t="s">
        <v>45</v>
      </c>
      <c r="C22" s="53">
        <v>322</v>
      </c>
      <c r="D22" s="48"/>
    </row>
    <row r="23" spans="1:4" x14ac:dyDescent="0.2">
      <c r="A23" t="s">
        <v>65</v>
      </c>
      <c r="B23" t="s">
        <v>46</v>
      </c>
      <c r="C23" s="53">
        <v>18200</v>
      </c>
      <c r="D23" s="48"/>
    </row>
    <row r="24" spans="1:4" x14ac:dyDescent="0.2">
      <c r="A24" t="s">
        <v>66</v>
      </c>
      <c r="B24" t="s">
        <v>47</v>
      </c>
      <c r="C24" s="53">
        <v>3404</v>
      </c>
      <c r="D24" s="48"/>
    </row>
    <row r="25" spans="1:4" x14ac:dyDescent="0.2">
      <c r="A25" t="s">
        <v>67</v>
      </c>
      <c r="B25" t="s">
        <v>48</v>
      </c>
      <c r="C25" s="53">
        <v>794.14</v>
      </c>
      <c r="D25" s="48"/>
    </row>
    <row r="26" spans="1:4" x14ac:dyDescent="0.2">
      <c r="A26" t="s">
        <v>68</v>
      </c>
      <c r="B26" t="s">
        <v>49</v>
      </c>
      <c r="C26" s="53">
        <v>8892.75</v>
      </c>
      <c r="D26" s="48"/>
    </row>
    <row r="27" spans="1:4" x14ac:dyDescent="0.2">
      <c r="A27" t="s">
        <v>69</v>
      </c>
      <c r="B27" t="s">
        <v>50</v>
      </c>
      <c r="C27" s="53">
        <v>69.5</v>
      </c>
      <c r="D27" s="48"/>
    </row>
    <row r="28" spans="1:4" x14ac:dyDescent="0.2">
      <c r="A28" t="s">
        <v>70</v>
      </c>
      <c r="B28" t="s">
        <v>51</v>
      </c>
      <c r="C28" s="53">
        <v>81</v>
      </c>
      <c r="D28" s="48"/>
    </row>
    <row r="29" spans="1:4" x14ac:dyDescent="0.2">
      <c r="A29" t="s">
        <v>71</v>
      </c>
      <c r="B29" t="s">
        <v>53</v>
      </c>
      <c r="C29" s="53">
        <v>149</v>
      </c>
      <c r="D29" s="64" t="s">
        <v>110</v>
      </c>
    </row>
    <row r="30" spans="1:4" x14ac:dyDescent="0.2">
      <c r="A30" t="s">
        <v>88</v>
      </c>
      <c r="B30" t="s">
        <v>4</v>
      </c>
      <c r="C30" s="53">
        <v>0.95</v>
      </c>
    </row>
    <row r="31" spans="1:4" x14ac:dyDescent="0.2">
      <c r="A31" s="38" t="s">
        <v>97</v>
      </c>
      <c r="B31" t="s">
        <v>89</v>
      </c>
      <c r="C31" s="53">
        <v>987.91</v>
      </c>
      <c r="D31" s="38" t="s">
        <v>96</v>
      </c>
    </row>
    <row r="32" spans="1:4" x14ac:dyDescent="0.2">
      <c r="A32" s="38" t="s">
        <v>92</v>
      </c>
      <c r="B32" t="s">
        <v>90</v>
      </c>
      <c r="C32" s="53">
        <v>115</v>
      </c>
      <c r="D32" s="38" t="s">
        <v>94</v>
      </c>
    </row>
    <row r="33" spans="1:6" x14ac:dyDescent="0.2">
      <c r="A33" s="38" t="s">
        <v>98</v>
      </c>
      <c r="B33" s="38" t="s">
        <v>93</v>
      </c>
      <c r="C33" s="53">
        <v>1958.06</v>
      </c>
      <c r="D33" s="38" t="s">
        <v>95</v>
      </c>
    </row>
    <row r="34" spans="1:6" s="55" customFormat="1" ht="15" x14ac:dyDescent="0.25">
      <c r="A34" s="55" t="s">
        <v>99</v>
      </c>
      <c r="B34" s="55" t="s">
        <v>101</v>
      </c>
      <c r="C34" s="56">
        <v>12.55</v>
      </c>
      <c r="D34" s="55" t="s">
        <v>103</v>
      </c>
      <c r="F34" s="55">
        <v>12.55</v>
      </c>
    </row>
    <row r="35" spans="1:6" s="44" customFormat="1" ht="15" x14ac:dyDescent="0.25">
      <c r="B35" s="44" t="s">
        <v>91</v>
      </c>
      <c r="C35" s="54">
        <f>+(C31/980)+((C32*4)/980)+((C33/4)/980)+(C34/4)</f>
        <v>5.1144642857142859</v>
      </c>
    </row>
    <row r="36" spans="1:6" x14ac:dyDescent="0.2">
      <c r="A36" t="s">
        <v>72</v>
      </c>
      <c r="B36" t="s">
        <v>6</v>
      </c>
      <c r="C36" s="53">
        <v>50.7</v>
      </c>
    </row>
    <row r="37" spans="1:6" x14ac:dyDescent="0.2">
      <c r="A37" t="s">
        <v>61</v>
      </c>
      <c r="B37" t="s">
        <v>7</v>
      </c>
      <c r="C37" s="53">
        <v>20.6</v>
      </c>
    </row>
    <row r="38" spans="1:6" x14ac:dyDescent="0.2">
      <c r="A38" t="s">
        <v>59</v>
      </c>
      <c r="B38" t="s">
        <v>8</v>
      </c>
      <c r="C38" s="53">
        <v>66.37</v>
      </c>
    </row>
    <row r="39" spans="1:6" x14ac:dyDescent="0.2">
      <c r="A39" t="s">
        <v>84</v>
      </c>
      <c r="B39" t="s">
        <v>86</v>
      </c>
      <c r="C39" s="53">
        <v>58.14</v>
      </c>
      <c r="D39" s="38" t="s">
        <v>100</v>
      </c>
      <c r="F39" s="73">
        <f>+C39+C40</f>
        <v>80.289999999999992</v>
      </c>
    </row>
    <row r="40" spans="1:6" s="62" customFormat="1" x14ac:dyDescent="0.2">
      <c r="A40" s="62" t="s">
        <v>85</v>
      </c>
      <c r="B40" s="62" t="s">
        <v>87</v>
      </c>
      <c r="C40" s="63">
        <v>22.15</v>
      </c>
      <c r="D40" s="62" t="s">
        <v>104</v>
      </c>
    </row>
    <row r="41" spans="1:6" ht="15" x14ac:dyDescent="0.25">
      <c r="A41" s="44" t="s">
        <v>82</v>
      </c>
      <c r="C41" s="52">
        <v>7.0000000000000007E-2</v>
      </c>
      <c r="D41" t="s">
        <v>108</v>
      </c>
    </row>
    <row r="42" spans="1:6" ht="15" x14ac:dyDescent="0.25">
      <c r="A42" s="44" t="s">
        <v>83</v>
      </c>
      <c r="C42" s="53">
        <v>0</v>
      </c>
      <c r="D42" s="38" t="s">
        <v>107</v>
      </c>
    </row>
  </sheetData>
  <mergeCells count="1">
    <mergeCell ref="A4:B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workbookViewId="0">
      <selection activeCell="D17" sqref="D17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77</v>
      </c>
      <c r="B2" s="2" t="s">
        <v>0</v>
      </c>
      <c r="C2" s="47">
        <f>+Datos!C2</f>
        <v>44805</v>
      </c>
      <c r="D2" s="43">
        <f>+Datos!D2</f>
        <v>44835</v>
      </c>
    </row>
    <row r="3" spans="1:13" x14ac:dyDescent="0.25">
      <c r="A3" s="2" t="s">
        <v>57</v>
      </c>
      <c r="B3" s="2"/>
      <c r="C3" s="3">
        <v>102.76258043055556</v>
      </c>
      <c r="D3" s="57">
        <f>D4+D5</f>
        <v>109.26281186388889</v>
      </c>
      <c r="E3" s="13" t="s">
        <v>102</v>
      </c>
      <c r="L3" s="4"/>
      <c r="M3" s="5"/>
    </row>
    <row r="4" spans="1:13" x14ac:dyDescent="0.25">
      <c r="A4" s="6"/>
      <c r="B4" s="7" t="s">
        <v>1</v>
      </c>
      <c r="C4" s="8">
        <v>40.799999999999997</v>
      </c>
      <c r="D4" s="58">
        <f>Insumos!J20</f>
        <v>44.7</v>
      </c>
      <c r="E4" s="13"/>
      <c r="L4" s="4"/>
      <c r="M4" s="5"/>
    </row>
    <row r="5" spans="1:13" x14ac:dyDescent="0.25">
      <c r="A5" s="7"/>
      <c r="B5" s="7" t="s">
        <v>2</v>
      </c>
      <c r="C5" s="8">
        <v>61.962580430555562</v>
      </c>
      <c r="D5" s="59">
        <f>+Insumos!J19</f>
        <v>64.562811863888882</v>
      </c>
      <c r="E5" s="13"/>
      <c r="L5" s="4"/>
      <c r="M5" s="5"/>
    </row>
    <row r="6" spans="1:13" x14ac:dyDescent="0.25">
      <c r="A6" s="2" t="s">
        <v>3</v>
      </c>
      <c r="B6" s="2"/>
      <c r="C6" s="9">
        <v>149.11000000000001</v>
      </c>
      <c r="D6" s="57">
        <f>D7+D8+D9+D10+D11+D12</f>
        <v>164.9844642857143</v>
      </c>
      <c r="E6" s="13"/>
      <c r="L6" s="4"/>
      <c r="M6" s="5"/>
    </row>
    <row r="7" spans="1:13" x14ac:dyDescent="0.25">
      <c r="A7" s="7" t="s">
        <v>88</v>
      </c>
      <c r="B7" s="7" t="s">
        <v>4</v>
      </c>
      <c r="C7" s="10">
        <v>0.9</v>
      </c>
      <c r="D7" s="58">
        <f>+Datos!C30</f>
        <v>0.95</v>
      </c>
      <c r="E7" s="13"/>
      <c r="L7" s="4"/>
      <c r="M7" s="5"/>
    </row>
    <row r="8" spans="1:13" x14ac:dyDescent="0.25">
      <c r="A8" s="7"/>
      <c r="B8" s="7" t="s">
        <v>5</v>
      </c>
      <c r="C8" s="10">
        <v>1.88</v>
      </c>
      <c r="D8" s="58">
        <f>+Datos!C35</f>
        <v>5.1144642857142859</v>
      </c>
      <c r="E8" s="13" t="s">
        <v>105</v>
      </c>
      <c r="L8" s="4"/>
      <c r="M8" s="5"/>
    </row>
    <row r="9" spans="1:13" x14ac:dyDescent="0.25">
      <c r="A9" s="7" t="s">
        <v>72</v>
      </c>
      <c r="B9" s="7" t="s">
        <v>6</v>
      </c>
      <c r="C9" s="8">
        <v>45.6</v>
      </c>
      <c r="D9" s="58">
        <f>+Datos!C36</f>
        <v>50.7</v>
      </c>
      <c r="E9" s="38"/>
      <c r="L9" s="4"/>
      <c r="M9" s="5"/>
    </row>
    <row r="10" spans="1:13" x14ac:dyDescent="0.25">
      <c r="A10" s="7" t="s">
        <v>61</v>
      </c>
      <c r="B10" s="7" t="s">
        <v>7</v>
      </c>
      <c r="C10" s="8">
        <v>13.12</v>
      </c>
      <c r="D10" s="58">
        <f>+Datos!C37</f>
        <v>20.6</v>
      </c>
      <c r="E10" s="38"/>
      <c r="L10" s="4"/>
      <c r="M10" s="5"/>
    </row>
    <row r="11" spans="1:13" x14ac:dyDescent="0.25">
      <c r="A11" s="7" t="s">
        <v>59</v>
      </c>
      <c r="B11" s="7" t="s">
        <v>8</v>
      </c>
      <c r="C11" s="8">
        <v>66.36</v>
      </c>
      <c r="D11" s="58">
        <f>+Datos!C38</f>
        <v>66.37</v>
      </c>
      <c r="E11" s="38"/>
      <c r="L11" s="4"/>
      <c r="M11" s="5"/>
    </row>
    <row r="12" spans="1:13" x14ac:dyDescent="0.25">
      <c r="A12" s="7" t="s">
        <v>60</v>
      </c>
      <c r="B12" s="7" t="s">
        <v>9</v>
      </c>
      <c r="C12" s="8">
        <v>21.25</v>
      </c>
      <c r="D12" s="58">
        <f>+C12</f>
        <v>21.25</v>
      </c>
      <c r="E12" s="38"/>
      <c r="G12" s="55"/>
      <c r="L12" s="4"/>
      <c r="M12" s="5"/>
    </row>
    <row r="13" spans="1:13" s="44" customFormat="1" x14ac:dyDescent="0.25">
      <c r="A13" s="2" t="s">
        <v>76</v>
      </c>
      <c r="B13" s="2">
        <v>0.2</v>
      </c>
      <c r="C13" s="3">
        <v>50.374516086111115</v>
      </c>
      <c r="D13" s="57">
        <f>+(D3+D6)*$B$13</f>
        <v>54.849455229920636</v>
      </c>
      <c r="G13" s="51"/>
      <c r="L13" s="42"/>
      <c r="M13" s="45"/>
    </row>
    <row r="14" spans="1:13" x14ac:dyDescent="0.25">
      <c r="A14" s="2" t="s">
        <v>10</v>
      </c>
      <c r="B14" s="11"/>
      <c r="C14" s="12">
        <v>89.96486868566447</v>
      </c>
      <c r="D14" s="60">
        <f>D15+D16</f>
        <v>92.785775493660992</v>
      </c>
      <c r="L14" s="4"/>
      <c r="M14" s="5"/>
    </row>
    <row r="15" spans="1:13" x14ac:dyDescent="0.25">
      <c r="A15" s="7"/>
      <c r="B15" s="7" t="s">
        <v>11</v>
      </c>
      <c r="C15" s="8">
        <v>40.298668685664481</v>
      </c>
      <c r="D15" s="58">
        <f>C15*(1+Datos!C41)</f>
        <v>43.119575493660996</v>
      </c>
      <c r="E15" s="13" t="s">
        <v>109</v>
      </c>
      <c r="G15" s="50"/>
      <c r="L15" s="4"/>
      <c r="M15" s="5"/>
    </row>
    <row r="16" spans="1:13" x14ac:dyDescent="0.25">
      <c r="A16" s="7"/>
      <c r="B16" s="7" t="s">
        <v>12</v>
      </c>
      <c r="C16" s="8">
        <v>49.666199999999996</v>
      </c>
      <c r="D16" s="58">
        <f>+C16*(1+Datos!C42)</f>
        <v>49.666199999999996</v>
      </c>
      <c r="E16" s="13" t="s">
        <v>75</v>
      </c>
      <c r="G16" s="50"/>
      <c r="L16" s="4"/>
      <c r="M16" s="5"/>
    </row>
    <row r="17" spans="1:13" x14ac:dyDescent="0.25">
      <c r="A17" s="2"/>
      <c r="B17" s="2" t="s">
        <v>13</v>
      </c>
      <c r="C17" s="3">
        <f>+C3+C6+C13+C14</f>
        <v>392.21196520233116</v>
      </c>
      <c r="D17" s="57">
        <f>+D3+D6+D13+D14</f>
        <v>421.88250687318481</v>
      </c>
      <c r="L17" s="4"/>
      <c r="M17" s="5"/>
    </row>
    <row r="18" spans="1:13" x14ac:dyDescent="0.25">
      <c r="A18" s="41"/>
      <c r="B18" s="41"/>
      <c r="C18" s="42"/>
      <c r="D18" s="42"/>
      <c r="L18" s="4"/>
      <c r="M18" s="5"/>
    </row>
    <row r="19" spans="1:13" x14ac:dyDescent="0.25">
      <c r="A19" s="41"/>
      <c r="B19" s="41"/>
      <c r="C19" s="42"/>
      <c r="D19" s="42"/>
      <c r="L19" s="4"/>
      <c r="M19" s="5"/>
    </row>
    <row r="20" spans="1:13" x14ac:dyDescent="0.25">
      <c r="A20" s="41"/>
      <c r="B20" s="41"/>
      <c r="C20" s="42" t="s">
        <v>74</v>
      </c>
      <c r="D20" s="42">
        <f>+D17*4</f>
        <v>1687.5300274927392</v>
      </c>
      <c r="L20" s="4"/>
      <c r="M20" s="5"/>
    </row>
    <row r="21" spans="1:13" x14ac:dyDescent="0.25">
      <c r="D21" s="39"/>
    </row>
    <row r="22" spans="1:13" ht="15" customHeight="1" x14ac:dyDescent="0.25">
      <c r="A22" s="68" t="s">
        <v>14</v>
      </c>
      <c r="B22" s="67"/>
      <c r="C22" s="67"/>
      <c r="D22" s="40"/>
      <c r="E22" s="14"/>
      <c r="F22" s="14"/>
      <c r="G22" s="14"/>
    </row>
    <row r="23" spans="1:13" ht="15" customHeight="1" x14ac:dyDescent="0.25">
      <c r="A23" s="66" t="s">
        <v>15</v>
      </c>
      <c r="B23" s="67"/>
      <c r="C23" s="67"/>
      <c r="D23" s="15"/>
      <c r="E23" s="15"/>
      <c r="F23" s="15"/>
      <c r="G23" s="15"/>
    </row>
    <row r="24" spans="1:13" ht="15" customHeight="1" x14ac:dyDescent="0.25">
      <c r="A24" s="66" t="s">
        <v>16</v>
      </c>
      <c r="B24" s="67"/>
      <c r="C24" s="67"/>
      <c r="D24" s="15"/>
      <c r="E24" s="15"/>
      <c r="F24" s="15"/>
      <c r="G24" s="15"/>
    </row>
    <row r="25" spans="1:13" ht="30.75" customHeight="1" x14ac:dyDescent="0.25">
      <c r="A25" s="66" t="s">
        <v>17</v>
      </c>
      <c r="B25" s="67"/>
      <c r="C25" s="67"/>
      <c r="D25" s="15"/>
      <c r="E25" s="15"/>
      <c r="F25" s="15"/>
      <c r="G25" s="15"/>
    </row>
    <row r="26" spans="1:13" ht="15" customHeight="1" x14ac:dyDescent="0.25">
      <c r="A26" s="66" t="s">
        <v>18</v>
      </c>
      <c r="B26" s="67"/>
      <c r="C26" s="67"/>
      <c r="D26" s="15"/>
      <c r="E26" s="15"/>
      <c r="F26" s="15"/>
      <c r="G26" s="15"/>
    </row>
    <row r="27" spans="1:13" ht="15" customHeight="1" x14ac:dyDescent="0.25">
      <c r="A27" s="66" t="s">
        <v>19</v>
      </c>
      <c r="B27" s="67"/>
      <c r="C27" s="67"/>
      <c r="D27" s="15"/>
      <c r="E27" s="15"/>
      <c r="F27" s="15"/>
      <c r="G27" s="15"/>
    </row>
    <row r="28" spans="1:13" ht="15" customHeight="1" x14ac:dyDescent="0.25">
      <c r="A28" s="66" t="s">
        <v>20</v>
      </c>
      <c r="B28" s="67"/>
      <c r="C28" s="67"/>
      <c r="D28" s="15"/>
      <c r="E28" s="15"/>
      <c r="F28" s="15"/>
      <c r="G28" s="15"/>
    </row>
    <row r="29" spans="1:13" ht="15" customHeight="1" x14ac:dyDescent="0.25">
      <c r="A29" s="66" t="s">
        <v>21</v>
      </c>
      <c r="B29" s="67"/>
      <c r="C29" s="67"/>
      <c r="D29" s="15"/>
      <c r="E29" s="15"/>
      <c r="F29" s="15"/>
      <c r="G29" s="15"/>
    </row>
    <row r="30" spans="1:13" ht="16.5" customHeight="1" x14ac:dyDescent="0.25">
      <c r="A30" s="66" t="s">
        <v>22</v>
      </c>
      <c r="B30" s="67"/>
      <c r="C30" s="67"/>
      <c r="D30" s="15"/>
      <c r="E30" s="15"/>
      <c r="F30" s="15"/>
      <c r="G30" s="15"/>
    </row>
    <row r="31" spans="1:13" ht="15.75" customHeight="1" x14ac:dyDescent="0.25">
      <c r="A31" s="16"/>
      <c r="B31" s="16"/>
      <c r="C31" s="16"/>
      <c r="D31" s="16"/>
      <c r="E31" s="16"/>
      <c r="F31" s="16"/>
      <c r="G31" s="16"/>
    </row>
    <row r="32" spans="1:13" ht="15.75" customHeight="1" x14ac:dyDescent="0.25">
      <c r="A32" s="1"/>
      <c r="B32" s="1"/>
    </row>
    <row r="33" spans="1:3" ht="15.75" customHeight="1" x14ac:dyDescent="0.25">
      <c r="A33" s="7" t="s">
        <v>23</v>
      </c>
      <c r="B33" s="7"/>
    </row>
    <row r="34" spans="1:3" ht="15.75" customHeight="1" x14ac:dyDescent="0.25">
      <c r="A34" s="7" t="s">
        <v>24</v>
      </c>
      <c r="B34" s="2" t="s">
        <v>73</v>
      </c>
    </row>
    <row r="35" spans="1:3" ht="15.75" customHeight="1" x14ac:dyDescent="0.25">
      <c r="A35" s="7" t="s">
        <v>25</v>
      </c>
      <c r="B35" s="7" t="s">
        <v>26</v>
      </c>
    </row>
    <row r="36" spans="1:3" ht="15.75" customHeight="1" x14ac:dyDescent="0.25">
      <c r="A36" s="7" t="s">
        <v>12</v>
      </c>
      <c r="B36" s="7" t="s">
        <v>27</v>
      </c>
      <c r="C36" t="s">
        <v>58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topLeftCell="A8" workbookViewId="0">
      <selection activeCell="A23" sqref="A23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7"/>
      <c r="B1" s="18" t="s">
        <v>28</v>
      </c>
      <c r="C1" s="19"/>
    </row>
    <row r="2" spans="1:13" ht="14.25" x14ac:dyDescent="0.2">
      <c r="A2" s="19"/>
    </row>
    <row r="3" spans="1:13" ht="43.5" x14ac:dyDescent="0.3">
      <c r="A3" s="20" t="s">
        <v>29</v>
      </c>
      <c r="B3" s="21">
        <v>540</v>
      </c>
      <c r="C3" s="19"/>
      <c r="D3" s="21"/>
      <c r="E3" s="19"/>
      <c r="F3" s="21"/>
      <c r="G3" s="22"/>
      <c r="H3" s="22"/>
      <c r="I3" s="19"/>
    </row>
    <row r="4" spans="1:13" ht="14.25" x14ac:dyDescent="0.2">
      <c r="A4" s="19"/>
    </row>
    <row r="5" spans="1:13" ht="14.25" x14ac:dyDescent="0.2">
      <c r="A5" s="23" t="s">
        <v>30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spans="1:13" ht="30" x14ac:dyDescent="0.4">
      <c r="A6" s="23" t="s">
        <v>31</v>
      </c>
      <c r="B6" s="24" t="s">
        <v>32</v>
      </c>
      <c r="C6" s="18" t="s">
        <v>33</v>
      </c>
      <c r="D6" s="19"/>
      <c r="E6" s="25"/>
      <c r="F6" s="19"/>
      <c r="G6" s="26" t="s">
        <v>34</v>
      </c>
      <c r="H6" s="27">
        <v>900</v>
      </c>
      <c r="I6" s="28" t="s">
        <v>35</v>
      </c>
      <c r="J6" s="19"/>
      <c r="K6" s="19"/>
    </row>
    <row r="7" spans="1:13" ht="14.25" x14ac:dyDescent="0.2">
      <c r="A7" s="23"/>
      <c r="B7" s="19"/>
      <c r="C7" s="19"/>
      <c r="D7" s="19"/>
      <c r="E7" s="19"/>
      <c r="F7" s="19"/>
    </row>
    <row r="8" spans="1:13" ht="30" x14ac:dyDescent="0.4">
      <c r="A8" s="23"/>
      <c r="B8" s="29"/>
      <c r="C8" s="29"/>
      <c r="D8" s="29"/>
      <c r="E8" s="19"/>
      <c r="F8" s="19"/>
      <c r="G8" s="69">
        <v>44738</v>
      </c>
      <c r="H8" s="70"/>
      <c r="I8" s="70"/>
      <c r="J8" s="71"/>
      <c r="K8" s="19"/>
      <c r="L8" s="19"/>
      <c r="M8" s="19"/>
    </row>
    <row r="9" spans="1:13" ht="18" x14ac:dyDescent="0.25">
      <c r="A9" s="23" t="s">
        <v>36</v>
      </c>
      <c r="B9" s="19"/>
      <c r="C9" s="19"/>
      <c r="D9" s="19"/>
      <c r="E9" s="30" t="s">
        <v>37</v>
      </c>
      <c r="F9" s="30" t="s">
        <v>38</v>
      </c>
      <c r="G9" s="27" t="s">
        <v>39</v>
      </c>
      <c r="H9" s="27" t="s">
        <v>40</v>
      </c>
      <c r="I9" s="27" t="s">
        <v>41</v>
      </c>
      <c r="J9" s="27" t="s">
        <v>42</v>
      </c>
    </row>
    <row r="10" spans="1:13" x14ac:dyDescent="0.2">
      <c r="A10" s="23"/>
      <c r="B10" s="19"/>
      <c r="C10" s="19"/>
      <c r="D10" s="19" t="s">
        <v>62</v>
      </c>
      <c r="E10" s="31" t="s">
        <v>43</v>
      </c>
      <c r="F10" s="31">
        <f t="shared" ref="F10:F11" si="0">19282.5/2</f>
        <v>9641.25</v>
      </c>
      <c r="G10" s="32">
        <f>+Datos!C20</f>
        <v>4860</v>
      </c>
      <c r="H10" s="32">
        <f t="shared" ref="H10:H18" si="1">G10*F10/1000</f>
        <v>46856.474999999999</v>
      </c>
      <c r="I10" s="32">
        <f t="shared" ref="I10:I18" si="2">+H10/$H$6</f>
        <v>52.062750000000001</v>
      </c>
      <c r="J10" s="32">
        <f t="shared" ref="J10:J18" si="3">I10/2</f>
        <v>26.031375000000001</v>
      </c>
    </row>
    <row r="11" spans="1:13" x14ac:dyDescent="0.2">
      <c r="A11" s="23"/>
      <c r="B11" s="19"/>
      <c r="C11" s="19"/>
      <c r="D11" s="19" t="s">
        <v>63</v>
      </c>
      <c r="E11" s="31" t="s">
        <v>44</v>
      </c>
      <c r="F11" s="31">
        <f t="shared" si="0"/>
        <v>9641.25</v>
      </c>
      <c r="G11" s="32">
        <f>+Datos!C21</f>
        <v>6300</v>
      </c>
      <c r="H11" s="32">
        <f t="shared" si="1"/>
        <v>60739.875</v>
      </c>
      <c r="I11" s="32">
        <f t="shared" si="2"/>
        <v>67.488749999999996</v>
      </c>
      <c r="J11" s="32">
        <f t="shared" si="3"/>
        <v>33.744374999999998</v>
      </c>
    </row>
    <row r="12" spans="1:13" x14ac:dyDescent="0.2">
      <c r="A12" s="23"/>
      <c r="B12" s="19"/>
      <c r="C12" s="19"/>
      <c r="D12" s="19" t="s">
        <v>64</v>
      </c>
      <c r="E12" s="31" t="s">
        <v>45</v>
      </c>
      <c r="F12" s="31">
        <v>3857.5</v>
      </c>
      <c r="G12" s="32">
        <f>+Datos!C22</f>
        <v>322</v>
      </c>
      <c r="H12" s="32">
        <f t="shared" si="1"/>
        <v>1242.115</v>
      </c>
      <c r="I12" s="32">
        <f t="shared" si="2"/>
        <v>1.3801277777777778</v>
      </c>
      <c r="J12" s="32">
        <f t="shared" si="3"/>
        <v>0.69006388888888892</v>
      </c>
    </row>
    <row r="13" spans="1:13" x14ac:dyDescent="0.2">
      <c r="A13" s="23"/>
      <c r="B13" s="19"/>
      <c r="C13" s="19"/>
      <c r="D13" s="19" t="s">
        <v>65</v>
      </c>
      <c r="E13" s="31" t="s">
        <v>46</v>
      </c>
      <c r="F13" s="31">
        <v>61.5</v>
      </c>
      <c r="G13" s="32">
        <f>+Datos!C23</f>
        <v>18200</v>
      </c>
      <c r="H13" s="32">
        <f t="shared" si="1"/>
        <v>1119.3</v>
      </c>
      <c r="I13" s="32">
        <f t="shared" si="2"/>
        <v>1.2436666666666667</v>
      </c>
      <c r="J13" s="32">
        <f t="shared" si="3"/>
        <v>0.62183333333333335</v>
      </c>
    </row>
    <row r="14" spans="1:13" x14ac:dyDescent="0.2">
      <c r="A14" s="23"/>
      <c r="B14" s="19"/>
      <c r="C14" s="19"/>
      <c r="D14" s="19" t="s">
        <v>66</v>
      </c>
      <c r="E14" s="31" t="s">
        <v>47</v>
      </c>
      <c r="F14" s="31">
        <v>41.25</v>
      </c>
      <c r="G14" s="32">
        <f>+Datos!C24</f>
        <v>3404</v>
      </c>
      <c r="H14" s="32">
        <f t="shared" si="1"/>
        <v>140.41499999999999</v>
      </c>
      <c r="I14" s="32">
        <f t="shared" si="2"/>
        <v>0.15601666666666666</v>
      </c>
      <c r="J14" s="32">
        <f t="shared" si="3"/>
        <v>7.8008333333333332E-2</v>
      </c>
    </row>
    <row r="15" spans="1:13" x14ac:dyDescent="0.2">
      <c r="A15" s="23"/>
      <c r="B15" s="19"/>
      <c r="C15" s="19"/>
      <c r="D15" s="19" t="s">
        <v>67</v>
      </c>
      <c r="E15" s="31" t="s">
        <v>48</v>
      </c>
      <c r="F15" s="31">
        <v>900</v>
      </c>
      <c r="G15" s="32">
        <f>+Datos!C25</f>
        <v>794.14</v>
      </c>
      <c r="H15" s="32">
        <f t="shared" si="1"/>
        <v>714.726</v>
      </c>
      <c r="I15" s="32">
        <f t="shared" si="2"/>
        <v>0.79413999999999996</v>
      </c>
      <c r="J15" s="32">
        <f t="shared" si="3"/>
        <v>0.39706999999999998</v>
      </c>
    </row>
    <row r="16" spans="1:13" x14ac:dyDescent="0.2">
      <c r="A16" s="23"/>
      <c r="B16" s="19"/>
      <c r="C16" s="19"/>
      <c r="D16" s="19" t="s">
        <v>68</v>
      </c>
      <c r="E16" s="31" t="s">
        <v>49</v>
      </c>
      <c r="F16" s="31">
        <v>514.25</v>
      </c>
      <c r="G16" s="32">
        <f>+Datos!C26</f>
        <v>8892.75</v>
      </c>
      <c r="H16" s="32">
        <f t="shared" si="1"/>
        <v>4573.0966875000004</v>
      </c>
      <c r="I16" s="32">
        <f t="shared" si="2"/>
        <v>5.0812185416666669</v>
      </c>
      <c r="J16" s="32">
        <f t="shared" si="3"/>
        <v>2.5406092708333334</v>
      </c>
    </row>
    <row r="17" spans="1:13" x14ac:dyDescent="0.2">
      <c r="A17" s="23"/>
      <c r="B17" s="19"/>
      <c r="C17" s="19"/>
      <c r="D17" s="19" t="s">
        <v>69</v>
      </c>
      <c r="E17" s="31" t="s">
        <v>50</v>
      </c>
      <c r="F17" s="31">
        <v>52.06</v>
      </c>
      <c r="G17" s="32">
        <f>+Datos!C27*Datos!$C$19</f>
        <v>10789.875</v>
      </c>
      <c r="H17" s="32">
        <f t="shared" si="1"/>
        <v>561.7208925000001</v>
      </c>
      <c r="I17" s="32">
        <f t="shared" si="2"/>
        <v>0.6241343250000001</v>
      </c>
      <c r="J17" s="32">
        <f t="shared" si="3"/>
        <v>0.31206716250000005</v>
      </c>
    </row>
    <row r="18" spans="1:13" x14ac:dyDescent="0.2">
      <c r="A18" s="23"/>
      <c r="B18" s="19"/>
      <c r="C18" s="19"/>
      <c r="D18" s="19" t="s">
        <v>70</v>
      </c>
      <c r="E18" s="31" t="s">
        <v>51</v>
      </c>
      <c r="F18" s="31">
        <v>21.1</v>
      </c>
      <c r="G18" s="32">
        <f>+Datos!C28*Datos!$C$19</f>
        <v>12575.25</v>
      </c>
      <c r="H18" s="32">
        <f t="shared" si="1"/>
        <v>265.33777500000002</v>
      </c>
      <c r="I18" s="32">
        <f t="shared" si="2"/>
        <v>0.29481975000000005</v>
      </c>
      <c r="J18" s="32">
        <f t="shared" si="3"/>
        <v>0.14740987500000002</v>
      </c>
    </row>
    <row r="19" spans="1:13" ht="15.75" x14ac:dyDescent="0.25">
      <c r="A19" s="23"/>
      <c r="B19" s="19"/>
      <c r="C19" s="19"/>
      <c r="D19" s="19"/>
      <c r="E19" s="33" t="s">
        <v>52</v>
      </c>
      <c r="F19" s="33">
        <f>SUM(F10:F18)</f>
        <v>24730.16</v>
      </c>
      <c r="G19" s="34"/>
      <c r="H19" s="34">
        <f t="shared" ref="H19:J19" si="4">SUM(H10:H18)</f>
        <v>116213.06135500001</v>
      </c>
      <c r="I19" s="34">
        <f t="shared" si="4"/>
        <v>129.12562372777776</v>
      </c>
      <c r="J19" s="34">
        <f t="shared" si="4"/>
        <v>64.562811863888882</v>
      </c>
    </row>
    <row r="20" spans="1:13" ht="18" x14ac:dyDescent="0.25">
      <c r="A20" s="23"/>
      <c r="B20" s="19"/>
      <c r="C20" s="35"/>
      <c r="D20" s="19" t="s">
        <v>71</v>
      </c>
      <c r="E20" s="33" t="s">
        <v>53</v>
      </c>
      <c r="F20" s="33">
        <v>540000</v>
      </c>
      <c r="G20" s="36">
        <f>+Datos!C29</f>
        <v>149</v>
      </c>
      <c r="H20" s="36">
        <f>G20*F20/1000</f>
        <v>80460</v>
      </c>
      <c r="I20" s="36">
        <f>+H20/$H$6</f>
        <v>89.4</v>
      </c>
      <c r="J20" s="36">
        <f>I20/2</f>
        <v>44.7</v>
      </c>
      <c r="K20" s="19"/>
      <c r="L20" s="37"/>
      <c r="M20" s="19"/>
    </row>
    <row r="21" spans="1:13" ht="18" x14ac:dyDescent="0.25">
      <c r="A21" s="23"/>
      <c r="B21" s="19"/>
      <c r="C21" s="35"/>
      <c r="D21" s="19"/>
      <c r="E21" s="19"/>
      <c r="F21" s="19"/>
      <c r="G21" s="19"/>
      <c r="H21" s="19"/>
      <c r="I21" s="19"/>
      <c r="J21" s="19"/>
      <c r="K21" s="19"/>
      <c r="L21" s="37"/>
      <c r="M21" s="19"/>
    </row>
    <row r="22" spans="1:13" ht="18" x14ac:dyDescent="0.25">
      <c r="A22" s="23"/>
      <c r="B22" s="19"/>
      <c r="C22" s="35" t="s">
        <v>54</v>
      </c>
      <c r="D22" s="19"/>
      <c r="E22" s="19"/>
      <c r="F22" s="19"/>
      <c r="G22" s="19"/>
      <c r="H22" s="19"/>
      <c r="I22" s="19"/>
      <c r="J22" s="19"/>
      <c r="K22" s="19"/>
      <c r="L22" s="37"/>
      <c r="M22" s="19"/>
    </row>
    <row r="23" spans="1:13" ht="90" customHeight="1" x14ac:dyDescent="0.2">
      <c r="A23" s="23" t="s">
        <v>55</v>
      </c>
      <c r="B23" s="19"/>
      <c r="C23" s="19"/>
      <c r="D23" s="72" t="s">
        <v>56</v>
      </c>
      <c r="E23" s="67"/>
      <c r="F23" s="67"/>
      <c r="G23" s="67"/>
      <c r="H23" s="67"/>
      <c r="I23" s="67"/>
      <c r="J23" s="67"/>
      <c r="K23" s="67"/>
      <c r="L23" s="19"/>
      <c r="M23" s="19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Costeo</vt:lpstr>
      <vt:lpstr>Insumos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SupplyDestileria</cp:lastModifiedBy>
  <dcterms:created xsi:type="dcterms:W3CDTF">2021-11-16T13:44:54Z</dcterms:created>
  <dcterms:modified xsi:type="dcterms:W3CDTF">2023-02-13T19:34:01Z</dcterms:modified>
</cp:coreProperties>
</file>