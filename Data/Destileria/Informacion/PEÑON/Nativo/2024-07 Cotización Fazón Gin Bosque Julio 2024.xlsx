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CF6CD49B-84E1-4BBA-9963-9015DA8547B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  <sheet name="Insumos CM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9" i="4" l="1"/>
  <c r="D11" i="4"/>
  <c r="D10" i="4"/>
  <c r="D7" i="4"/>
  <c r="D6" i="4"/>
  <c r="D3" i="4"/>
  <c r="D16" i="1"/>
  <c r="B4" i="3" l="1"/>
  <c r="C6" i="3" l="1"/>
  <c r="H6" i="3" l="1"/>
  <c r="G11" i="2"/>
  <c r="H11" i="2" s="1"/>
  <c r="D10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s="1"/>
</calcChain>
</file>

<file path=xl/sharedStrings.xml><?xml version="1.0" encoding="utf-8"?>
<sst xmlns="http://schemas.openxmlformats.org/spreadsheetml/2006/main" count="183" uniqueCount="139">
  <si>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</si>
  <si>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</si>
  <si>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</si>
  <si>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</si>
  <si>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</si>
  <si>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</si>
  <si>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</si>
  <si>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</si>
  <si>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</si>
  <si>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</si>
  <si>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</si>
  <si>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</si>
  <si>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</si>
  <si>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</si>
  <si>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</si>
  <si>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</si>
  <si>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</si>
  <si>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</si>
  <si>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</si>
  <si>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</si>
  <si>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</si>
  <si>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</si>
  <si>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</si>
  <si>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</si>
  <si>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</si>
  <si>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</si>
  <si>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</si>
  <si>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</si>
  <si>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</si>
  <si>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</si>
  <si>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</si>
  <si>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</si>
  <si>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</si>
  <si>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</si>
  <si>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</si>
  <si>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</si>
  <si>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</si>
  <si>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</si>
  <si>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</si>
  <si>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</si>
  <si>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</si>
  <si>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</si>
  <si>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</si>
  <si>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</si>
  <si>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</si>
  <si>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</si>
  <si>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</si>
  <si>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</si>
  <si>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</si>
  <si>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</si>
  <si>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</si>
  <si>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</si>
  <si>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</si>
  <si>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</si>
  <si>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</si>
  <si>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</si>
  <si>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</si>
  <si>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</si>
  <si>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</si>
  <si>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</si>
  <si>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</si>
  <si>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</si>
  <si>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</si>
  <si>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</si>
  <si>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</si>
  <si>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</si>
  <si>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</si>
  <si>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</si>
  <si>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</si>
  <si>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</si>
  <si>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</si>
  <si>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</si>
  <si>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</si>
  <si>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</si>
  <si>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</si>
  <si>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</si>
  <si>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</si>
  <si>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</si>
  <si>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</si>
  <si>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</si>
  <si>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</si>
  <si>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</si>
  <si>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</si>
  <si>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</si>
  <si>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</si>
  <si>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</si>
  <si>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</si>
  <si>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</si>
  <si>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</si>
  <si>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</si>
  <si>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</si>
  <si>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</si>
  <si>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</si>
  <si>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</si>
  <si>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</si>
  <si>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</si>
  <si>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</si>
  <si>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</si>
  <si>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</si>
  <si>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</si>
  <si>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</si>
  <si>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</si>
  <si>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</si>
  <si>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</si>
  <si>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</si>
  <si>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</si>
  <si>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</si>
  <si>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</si>
  <si>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</si>
  <si>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</si>
  <si>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</si>
  <si>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PEÑON-TAPI desde 10-2023</t>
  </si>
  <si>
    <t>PEÑON-MULTICAJAS SA desde 13-11-2023</t>
  </si>
  <si>
    <t>* 05-01</t>
  </si>
  <si>
    <t>* 09-01</t>
  </si>
  <si>
    <t>* Febrero Dto 12% respecto a Enero - baja costos / resignación de margen fasonado</t>
  </si>
  <si>
    <t>*05-03</t>
  </si>
  <si>
    <t>Descripción</t>
  </si>
  <si>
    <t>ENVASE BOTELLA AGROPECUARIA AMBAR 500ML</t>
  </si>
  <si>
    <t>Caja Gin Bosque 500CC x4</t>
  </si>
  <si>
    <t>SEPARADORES CAJA GIN BOSQUE X4</t>
  </si>
  <si>
    <t>FLOR DE AZHAR</t>
  </si>
  <si>
    <t>ENEBRO PRIMERA</t>
  </si>
  <si>
    <t>CAJA GIN ALTA MONTANA 500CC X4</t>
  </si>
  <si>
    <t>ETIQUETAS GIN ALTA MONTAÑA</t>
  </si>
  <si>
    <t>ETIQUETA GIN BOSQUE 500CC NUEVO EAN</t>
  </si>
  <si>
    <t>ETIQUETA GIN ALTA MONTANA X500 B4</t>
  </si>
  <si>
    <t>Cotiz CMQ</t>
  </si>
  <si>
    <t>Cotiz Peñon</t>
  </si>
  <si>
    <t>Proveedor</t>
  </si>
  <si>
    <t>CMQ</t>
  </si>
  <si>
    <t>MULTICAJAS S.A</t>
  </si>
  <si>
    <t>Fecha Cotiz</t>
  </si>
  <si>
    <t>ARTES GRAFICAS</t>
  </si>
  <si>
    <t>* Verificar error en precio insumo #6</t>
  </si>
  <si>
    <t>* Proveedor recomendado por CMQ - MULTICAJAS SA - No es conveniente en precio, incumple fechas de entrega. Ver posibilidad de que se pueda volver a comprar directo a CMQ.</t>
  </si>
  <si>
    <t>#</t>
  </si>
  <si>
    <t>* Proveedor etiquetas mayor precio.</t>
  </si>
  <si>
    <t>*Mayo-Junio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</si>
</sst>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  <numFmt numFmtId="170" formatCode="_-* #,##0.0000_-;\-* #,##0.0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" fontId="0" fillId="0" borderId="0" xfId="0" applyNumberFormat="1"/>
    <xf numFmtId="43" fontId="2" fillId="0" borderId="0" xfId="2" applyNumberFormat="1" applyFont="1"/>
    <xf numFmtId="43" fontId="0" fillId="0" borderId="0" xfId="1" applyFont="1"/>
    <xf numFmtId="43" fontId="22" fillId="0" borderId="0" xfId="1" applyFont="1"/>
    <xf numFmtId="43" fontId="20" fillId="0" borderId="0" xfId="1" applyFont="1"/>
    <xf numFmtId="43" fontId="5" fillId="0" borderId="0" xfId="0" applyNumberFormat="1" applyFont="1"/>
    <xf numFmtId="14" fontId="19" fillId="0" borderId="0" xfId="0" applyNumberFormat="1" applyFont="1"/>
    <xf numFmtId="0" fontId="20" fillId="0" borderId="5" xfId="0" applyFont="1" applyBorder="1"/>
    <xf numFmtId="17" fontId="20" fillId="0" borderId="5" xfId="0" applyNumberFormat="1" applyFont="1" applyBorder="1"/>
    <xf numFmtId="0" fontId="0" fillId="0" borderId="5" xfId="0" applyBorder="1"/>
    <xf numFmtId="43" fontId="0" fillId="0" borderId="5" xfId="1" applyFont="1" applyBorder="1"/>
    <xf numFmtId="0" fontId="19" fillId="0" borderId="5" xfId="0" applyFont="1" applyBorder="1"/>
    <xf numFmtId="14" fontId="0" fillId="0" borderId="5" xfId="0" applyNumberFormat="1" applyBorder="1"/>
    <xf numFmtId="43" fontId="23" fillId="0" borderId="5" xfId="1" applyFont="1" applyBorder="1"/>
    <xf numFmtId="14" fontId="19" fillId="0" borderId="5" xfId="0" applyNumberFormat="1" applyFont="1" applyBorder="1"/>
    <xf numFmtId="170" fontId="0" fillId="3" borderId="0" xfId="1" applyNumberFormat="1" applyFont="1" applyFill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2"/>
  <sheetViews>
    <sheetView topLeftCell="A16" workbookViewId="0">
      <selection activeCell="D27" sqref="D27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1">
        <v>45481</v>
      </c>
      <c r="D2" s="61"/>
    </row>
    <row r="4" spans="1:10" ht="15" x14ac:dyDescent="0.25">
      <c r="A4" s="38" t="s">
        <v>76</v>
      </c>
      <c r="B4" s="46">
        <f>+C2</f>
        <v>45481</v>
      </c>
      <c r="C4" s="60">
        <v>936.5</v>
      </c>
      <c r="D4" s="38" t="s">
        <v>102</v>
      </c>
      <c r="E4" s="56" t="s">
        <v>105</v>
      </c>
      <c r="I4" s="57"/>
    </row>
    <row r="5" spans="1:10" x14ac:dyDescent="0.2">
      <c r="A5" t="s">
        <v>61</v>
      </c>
      <c r="B5" s="33" t="s">
        <v>103</v>
      </c>
      <c r="C5" s="59">
        <v>14290.88</v>
      </c>
      <c r="D5" s="48" t="s">
        <v>104</v>
      </c>
      <c r="E5" s="57"/>
      <c r="F5" s="65">
        <v>45481</v>
      </c>
    </row>
    <row r="6" spans="1:10" x14ac:dyDescent="0.2">
      <c r="A6" s="33" t="s">
        <v>110</v>
      </c>
      <c r="B6" s="33" t="s">
        <v>100</v>
      </c>
      <c r="C6" s="60">
        <f>53.5</f>
        <v>53.5</v>
      </c>
      <c r="D6" s="40"/>
      <c r="E6" s="47" t="s">
        <v>106</v>
      </c>
      <c r="F6" s="47" t="s">
        <v>113</v>
      </c>
      <c r="H6" s="58">
        <f>+C6*C4</f>
        <v>50102.75</v>
      </c>
      <c r="I6" s="58"/>
      <c r="J6" s="58"/>
    </row>
    <row r="7" spans="1:10" x14ac:dyDescent="0.2">
      <c r="A7" t="s">
        <v>62</v>
      </c>
      <c r="B7" t="s">
        <v>44</v>
      </c>
      <c r="C7" s="59">
        <v>1711.15</v>
      </c>
      <c r="D7" s="40"/>
      <c r="E7" s="47" t="s">
        <v>107</v>
      </c>
      <c r="F7" s="47" t="s">
        <v>114</v>
      </c>
    </row>
    <row r="8" spans="1:10" x14ac:dyDescent="0.2">
      <c r="A8" t="s">
        <v>63</v>
      </c>
      <c r="B8" t="s">
        <v>45</v>
      </c>
      <c r="C8" s="59">
        <v>38796</v>
      </c>
      <c r="D8" s="40"/>
      <c r="E8" s="47" t="s">
        <v>107</v>
      </c>
      <c r="F8" s="47" t="s">
        <v>114</v>
      </c>
    </row>
    <row r="9" spans="1:10" x14ac:dyDescent="0.2">
      <c r="A9" t="s">
        <v>64</v>
      </c>
      <c r="B9" t="s">
        <v>46</v>
      </c>
      <c r="C9" s="59">
        <v>35104.199999999997</v>
      </c>
      <c r="D9" s="40"/>
      <c r="E9" s="47" t="s">
        <v>107</v>
      </c>
      <c r="F9" s="47" t="s">
        <v>114</v>
      </c>
    </row>
    <row r="10" spans="1:10" x14ac:dyDescent="0.2">
      <c r="A10" t="s">
        <v>65</v>
      </c>
      <c r="B10" t="s">
        <v>47</v>
      </c>
      <c r="C10" s="59">
        <v>6904.4</v>
      </c>
      <c r="D10" s="40"/>
      <c r="E10" s="47" t="s">
        <v>107</v>
      </c>
      <c r="F10" s="47" t="s">
        <v>116</v>
      </c>
    </row>
    <row r="11" spans="1:10" x14ac:dyDescent="0.2">
      <c r="A11" t="s">
        <v>66</v>
      </c>
      <c r="B11" t="s">
        <v>48</v>
      </c>
      <c r="C11" s="59">
        <v>16404.02</v>
      </c>
      <c r="D11" s="48" t="s">
        <v>104</v>
      </c>
      <c r="E11" s="57"/>
      <c r="F11" s="65">
        <v>45390</v>
      </c>
    </row>
    <row r="12" spans="1:10" x14ac:dyDescent="0.2">
      <c r="A12" t="s">
        <v>67</v>
      </c>
      <c r="B12" t="s">
        <v>49</v>
      </c>
      <c r="C12" s="59">
        <v>80.5</v>
      </c>
      <c r="D12" s="40"/>
    </row>
    <row r="13" spans="1:10" x14ac:dyDescent="0.2">
      <c r="A13" t="s">
        <v>68</v>
      </c>
      <c r="B13" t="s">
        <v>50</v>
      </c>
      <c r="C13" s="59">
        <v>235</v>
      </c>
      <c r="D13" s="40"/>
    </row>
    <row r="14" spans="1:10" x14ac:dyDescent="0.2">
      <c r="A14" t="s">
        <v>69</v>
      </c>
      <c r="B14" t="s">
        <v>52</v>
      </c>
      <c r="C14" s="60">
        <v>760</v>
      </c>
      <c r="D14" s="48"/>
      <c r="E14" s="33"/>
    </row>
    <row r="15" spans="1:10" x14ac:dyDescent="0.2">
      <c r="A15" t="s">
        <v>83</v>
      </c>
      <c r="B15" t="s">
        <v>4</v>
      </c>
      <c r="C15" s="59">
        <v>2.7</v>
      </c>
    </row>
    <row r="16" spans="1:10" x14ac:dyDescent="0.2">
      <c r="A16" s="33" t="s">
        <v>92</v>
      </c>
      <c r="B16" t="s">
        <v>84</v>
      </c>
      <c r="C16" s="50">
        <v>4010</v>
      </c>
      <c r="D16" s="33" t="s">
        <v>91</v>
      </c>
    </row>
    <row r="17" spans="1:10" x14ac:dyDescent="0.2">
      <c r="A17" s="33" t="s">
        <v>87</v>
      </c>
      <c r="B17" t="s">
        <v>85</v>
      </c>
      <c r="C17" s="50">
        <v>495</v>
      </c>
      <c r="D17" s="33" t="s">
        <v>89</v>
      </c>
    </row>
    <row r="18" spans="1:10" x14ac:dyDescent="0.2">
      <c r="A18" s="33" t="s">
        <v>93</v>
      </c>
      <c r="B18" s="33" t="s">
        <v>88</v>
      </c>
      <c r="C18" s="59">
        <v>3918.37</v>
      </c>
      <c r="D18" s="33" t="s">
        <v>90</v>
      </c>
    </row>
    <row r="19" spans="1:10" s="41" customFormat="1" ht="15" x14ac:dyDescent="0.25">
      <c r="A19" s="47" t="s">
        <v>94</v>
      </c>
      <c r="B19" s="47" t="s">
        <v>96</v>
      </c>
      <c r="C19" s="60">
        <v>22.87</v>
      </c>
      <c r="D19" s="47" t="s">
        <v>97</v>
      </c>
      <c r="E19" s="47"/>
      <c r="F19" s="47"/>
    </row>
    <row r="20" spans="1:10" s="38" customFormat="1" ht="15" x14ac:dyDescent="0.25">
      <c r="A20" s="47"/>
      <c r="B20" s="47" t="s">
        <v>86</v>
      </c>
      <c r="C20" s="60">
        <f>+(C16/980)+((C17*4)/980)+((C18/4)/980)+(C19/4)</f>
        <v>12.829329081632654</v>
      </c>
      <c r="D20" s="47"/>
      <c r="E20" s="47"/>
      <c r="F20" s="47"/>
    </row>
    <row r="21" spans="1:10" x14ac:dyDescent="0.2">
      <c r="A21" s="63" t="s">
        <v>70</v>
      </c>
      <c r="B21" s="63" t="s">
        <v>6</v>
      </c>
      <c r="C21" s="60">
        <v>0.39500000000000002</v>
      </c>
      <c r="D21" s="47" t="s">
        <v>99</v>
      </c>
      <c r="E21" s="47" t="s">
        <v>111</v>
      </c>
      <c r="F21" s="47"/>
      <c r="G21" s="58"/>
    </row>
    <row r="22" spans="1:10" x14ac:dyDescent="0.2">
      <c r="A22" s="62" t="s">
        <v>60</v>
      </c>
      <c r="B22" s="62" t="s">
        <v>7</v>
      </c>
      <c r="C22" s="60">
        <v>0.20114000000000001</v>
      </c>
      <c r="E22" s="33"/>
      <c r="H22" s="58"/>
      <c r="I22" s="58"/>
    </row>
    <row r="23" spans="1:10" x14ac:dyDescent="0.2">
      <c r="A23" s="33" t="s">
        <v>58</v>
      </c>
      <c r="B23" t="s">
        <v>8</v>
      </c>
      <c r="C23" s="60">
        <v>351.05</v>
      </c>
      <c r="D23" s="33"/>
      <c r="E23" s="33" t="s">
        <v>104</v>
      </c>
      <c r="F23" s="71">
        <v>45418</v>
      </c>
    </row>
    <row r="24" spans="1:10" x14ac:dyDescent="0.2">
      <c r="A24" s="62" t="s">
        <v>79</v>
      </c>
      <c r="B24" s="62" t="s">
        <v>81</v>
      </c>
      <c r="C24" s="60">
        <v>499</v>
      </c>
      <c r="D24" s="33" t="s">
        <v>95</v>
      </c>
      <c r="E24" s="47" t="s">
        <v>112</v>
      </c>
      <c r="J24" s="64">
        <v>85.35</v>
      </c>
    </row>
    <row r="25" spans="1:10" s="47" customFormat="1" x14ac:dyDescent="0.2">
      <c r="A25" s="63" t="s">
        <v>80</v>
      </c>
      <c r="B25" s="63" t="s">
        <v>82</v>
      </c>
      <c r="C25" s="60">
        <v>98.93</v>
      </c>
      <c r="D25" s="47" t="s">
        <v>98</v>
      </c>
      <c r="E25" s="47" t="s">
        <v>112</v>
      </c>
      <c r="J25" s="64">
        <v>20.37</v>
      </c>
    </row>
    <row r="26" spans="1:10" ht="15" x14ac:dyDescent="0.25">
      <c r="A26" s="38" t="s">
        <v>77</v>
      </c>
      <c r="C26" s="51">
        <v>9.1999999999999998E-2</v>
      </c>
      <c r="D26" s="33" t="s">
        <v>138</v>
      </c>
    </row>
    <row r="27" spans="1:10" ht="15" x14ac:dyDescent="0.25">
      <c r="A27" s="38" t="s">
        <v>78</v>
      </c>
      <c r="C27" s="52">
        <v>1.1599999999999999</v>
      </c>
      <c r="D27" s="33" t="s">
        <v>138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  <row r="32" spans="1:10" x14ac:dyDescent="0.2">
      <c r="A32" t="s">
        <v>115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" workbookViewId="0">
      <selection activeCell="G11" sqref="G11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4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5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81">
        <v>44738</v>
      </c>
      <c r="H8" s="82"/>
      <c r="I8" s="82"/>
      <c r="J8" s="83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14290.88</v>
      </c>
      <c r="H10" s="27">
        <f>G10*F10/$H$6</f>
        <v>156570.39409090907</v>
      </c>
      <c r="I10" s="27">
        <f t="shared" ref="I10:I18" si="1">+H10/$H$6</f>
        <v>177.92090237603304</v>
      </c>
      <c r="J10" s="27">
        <f t="shared" ref="J10:J18" si="2">I10/2</f>
        <v>88.960451188016521</v>
      </c>
    </row>
    <row r="11" spans="1:13" ht="15.75" x14ac:dyDescent="0.25">
      <c r="A11" s="18"/>
      <c r="B11" s="14"/>
      <c r="C11" s="14"/>
      <c r="D11" s="14" t="s">
        <v>110</v>
      </c>
      <c r="E11" s="53" t="s">
        <v>100</v>
      </c>
      <c r="F11" s="26">
        <f t="shared" si="0"/>
        <v>9641.25</v>
      </c>
      <c r="G11" s="27">
        <f>+Datos!C6*Datos!$C$4</f>
        <v>50102.75</v>
      </c>
      <c r="H11" s="27">
        <f>G11*F11/$H$6</f>
        <v>548924.02095170459</v>
      </c>
      <c r="I11" s="27">
        <f t="shared" si="1"/>
        <v>623.77729653602796</v>
      </c>
      <c r="J11" s="27">
        <f t="shared" si="2"/>
        <v>311.88864826801398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1711.15</v>
      </c>
      <c r="H12" s="27">
        <f t="shared" ref="H12:H18" si="3">G12*F12/$H$6</f>
        <v>7500.8649147727274</v>
      </c>
      <c r="I12" s="27">
        <f t="shared" si="1"/>
        <v>8.5237101304235541</v>
      </c>
      <c r="J12" s="27">
        <f t="shared" si="2"/>
        <v>4.261855065211777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35104.199999999997</v>
      </c>
      <c r="H14" s="27">
        <f t="shared" si="3"/>
        <v>1645.5093749999996</v>
      </c>
      <c r="I14" s="27">
        <f t="shared" si="1"/>
        <v>1.8698970170454541</v>
      </c>
      <c r="J14" s="27">
        <f t="shared" si="2"/>
        <v>0.93494850852272704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6904.4</v>
      </c>
      <c r="H15" s="27">
        <f t="shared" si="3"/>
        <v>7061.318181818182</v>
      </c>
      <c r="I15" s="27">
        <f t="shared" si="1"/>
        <v>8.02422520661157</v>
      </c>
      <c r="J15" s="27">
        <f t="shared" si="2"/>
        <v>4.012112603305785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16404.02</v>
      </c>
      <c r="H16" s="27">
        <f t="shared" si="3"/>
        <v>9586.0991875</v>
      </c>
      <c r="I16" s="27">
        <f t="shared" si="1"/>
        <v>10.89329453125</v>
      </c>
      <c r="J16" s="27">
        <f t="shared" si="2"/>
        <v>5.4466472656249998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75388.25</v>
      </c>
      <c r="H17" s="27">
        <f t="shared" si="3"/>
        <v>4459.900335227273</v>
      </c>
      <c r="I17" s="27">
        <f t="shared" si="1"/>
        <v>5.0680685627582651</v>
      </c>
      <c r="J17" s="27">
        <f t="shared" si="2"/>
        <v>2.5340342813791326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220077.5</v>
      </c>
      <c r="H18" s="27">
        <f t="shared" si="3"/>
        <v>5276.8582386363632</v>
      </c>
      <c r="I18" s="27">
        <f t="shared" si="1"/>
        <v>5.9964298166322312</v>
      </c>
      <c r="J18" s="27">
        <f t="shared" si="2"/>
        <v>2.9982149083161156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743736.27663920459</v>
      </c>
      <c r="I19" s="29">
        <f t="shared" si="4"/>
        <v>845.15485981727807</v>
      </c>
      <c r="J19" s="29">
        <f t="shared" si="4"/>
        <v>422.57742990863903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760</v>
      </c>
      <c r="H20" s="31">
        <f>G20*F20/$H$6</f>
        <v>466363.63636363635</v>
      </c>
      <c r="I20" s="31">
        <f>+H20/$H$6</f>
        <v>529.95867768595042</v>
      </c>
      <c r="J20" s="31">
        <f>I20/2</f>
        <v>264.97933884297521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84" t="s">
        <v>55</v>
      </c>
      <c r="E23" s="85"/>
      <c r="F23" s="85"/>
      <c r="G23" s="85"/>
      <c r="H23" s="85"/>
      <c r="I23" s="85"/>
      <c r="J23" s="85"/>
      <c r="K23" s="85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J15" sqref="J15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45420</v>
      </c>
      <c r="D2" s="37">
        <f>+Datos!C2</f>
        <v>45481</v>
      </c>
      <c r="G2" s="67"/>
    </row>
    <row r="3" spans="1:13" x14ac:dyDescent="0.25">
      <c r="A3" s="2" t="s">
        <v>56</v>
      </c>
      <c r="B3" s="2"/>
      <c r="C3" s="42">
        <v>641.65642481760074</v>
      </c>
      <c r="D3" s="42">
        <f>D4+D5</f>
        <v>687.5567687516143</v>
      </c>
      <c r="E3" s="8"/>
      <c r="G3" s="67"/>
      <c r="L3" s="3"/>
      <c r="M3" s="4"/>
    </row>
    <row r="4" spans="1:13" x14ac:dyDescent="0.25">
      <c r="A4" s="5"/>
      <c r="B4" s="6" t="s">
        <v>1</v>
      </c>
      <c r="C4" s="43">
        <v>264.97933884297521</v>
      </c>
      <c r="D4" s="43">
        <f>Insumos!J20</f>
        <v>264.97933884297521</v>
      </c>
      <c r="E4" s="8"/>
      <c r="G4" s="67"/>
      <c r="L4" s="3"/>
      <c r="M4" s="4"/>
    </row>
    <row r="5" spans="1:13" x14ac:dyDescent="0.25">
      <c r="A5" s="6"/>
      <c r="B5" s="6" t="s">
        <v>2</v>
      </c>
      <c r="C5" s="43">
        <v>376.67708597462553</v>
      </c>
      <c r="D5" s="44">
        <f>+Insumos!J19</f>
        <v>422.57742990863903</v>
      </c>
      <c r="E5" s="8"/>
      <c r="G5" s="67"/>
      <c r="L5" s="3"/>
      <c r="M5" s="4"/>
    </row>
    <row r="6" spans="1:13" x14ac:dyDescent="0.25">
      <c r="A6" s="2" t="s">
        <v>3</v>
      </c>
      <c r="B6" s="2"/>
      <c r="C6" s="42">
        <v>1049.5883305102041</v>
      </c>
      <c r="D6" s="42">
        <f>D7+D8+D9+D10+D11+D12</f>
        <v>1074.3469390816329</v>
      </c>
      <c r="E6" s="70"/>
      <c r="G6" s="67"/>
      <c r="L6" s="3"/>
      <c r="M6" s="4"/>
    </row>
    <row r="7" spans="1:13" x14ac:dyDescent="0.25">
      <c r="A7" s="6" t="s">
        <v>83</v>
      </c>
      <c r="B7" s="6" t="s">
        <v>4</v>
      </c>
      <c r="C7" s="43">
        <v>2.7</v>
      </c>
      <c r="D7" s="43">
        <f>+Datos!C15</f>
        <v>2.7</v>
      </c>
      <c r="E7" s="8"/>
      <c r="G7" s="67"/>
      <c r="L7" s="3"/>
      <c r="M7" s="4"/>
    </row>
    <row r="8" spans="1:13" x14ac:dyDescent="0.25">
      <c r="A8" s="6"/>
      <c r="B8" s="6" t="s">
        <v>5</v>
      </c>
      <c r="C8" s="43">
        <v>10.127900510204082</v>
      </c>
      <c r="D8" s="43">
        <f>+Datos!C20</f>
        <v>12.829329081632654</v>
      </c>
      <c r="E8" s="8"/>
      <c r="G8" s="67"/>
      <c r="L8" s="3"/>
      <c r="M8" s="4"/>
    </row>
    <row r="9" spans="1:13" x14ac:dyDescent="0.25">
      <c r="A9" s="6" t="s">
        <v>70</v>
      </c>
      <c r="B9" s="6" t="s">
        <v>6</v>
      </c>
      <c r="C9" s="43">
        <v>355.30250000000001</v>
      </c>
      <c r="D9" s="43">
        <f>+Datos!C21*Datos!C4</f>
        <v>369.91750000000002</v>
      </c>
      <c r="E9" s="33"/>
      <c r="G9" s="67"/>
      <c r="L9" s="3"/>
      <c r="M9" s="4"/>
    </row>
    <row r="10" spans="1:13" x14ac:dyDescent="0.25">
      <c r="A10" s="6" t="s">
        <v>60</v>
      </c>
      <c r="B10" s="6" t="s">
        <v>7</v>
      </c>
      <c r="C10" s="43">
        <v>180.92543000000001</v>
      </c>
      <c r="D10" s="43">
        <f>+Datos!C22*Datos!$C$4</f>
        <v>188.36761000000001</v>
      </c>
      <c r="E10" s="33"/>
      <c r="G10" s="67"/>
      <c r="L10" s="3"/>
      <c r="M10" s="4"/>
    </row>
    <row r="11" spans="1:13" x14ac:dyDescent="0.25">
      <c r="A11" s="6" t="s">
        <v>58</v>
      </c>
      <c r="B11" s="6" t="s">
        <v>8</v>
      </c>
      <c r="C11" s="43">
        <v>351.05</v>
      </c>
      <c r="D11" s="43">
        <f>+Datos!C23</f>
        <v>351.05</v>
      </c>
      <c r="E11" s="33"/>
      <c r="G11" s="67"/>
      <c r="L11" s="3"/>
      <c r="M11" s="4"/>
    </row>
    <row r="12" spans="1:13" x14ac:dyDescent="0.25">
      <c r="A12" s="6" t="s">
        <v>59</v>
      </c>
      <c r="B12" s="6" t="s">
        <v>9</v>
      </c>
      <c r="C12" s="43">
        <v>149.48250000000002</v>
      </c>
      <c r="D12" s="43">
        <f>+(Datos!C24+Datos!C25)/4</f>
        <v>149.48250000000002</v>
      </c>
      <c r="E12" s="33"/>
      <c r="G12" s="68"/>
      <c r="L12" s="3"/>
      <c r="M12" s="4"/>
    </row>
    <row r="13" spans="1:13" s="38" customFormat="1" x14ac:dyDescent="0.25">
      <c r="A13" s="2" t="s">
        <v>73</v>
      </c>
      <c r="B13" s="2">
        <v>0.2</v>
      </c>
      <c r="C13" s="42">
        <v>338.24895106556096</v>
      </c>
      <c r="D13" s="42">
        <f>+(D3+D6)*$B$13</f>
        <v>352.38074156664948</v>
      </c>
      <c r="G13" s="69"/>
      <c r="L13" s="36"/>
      <c r="M13" s="39"/>
    </row>
    <row r="14" spans="1:13" x14ac:dyDescent="0.25">
      <c r="A14" s="2" t="s">
        <v>10</v>
      </c>
      <c r="B14" s="7"/>
      <c r="C14" s="45">
        <v>653.86985795360999</v>
      </c>
      <c r="D14" s="45">
        <f>D15+D16</f>
        <v>734.79775988534209</v>
      </c>
      <c r="G14" s="67"/>
      <c r="L14" s="3"/>
      <c r="M14" s="4"/>
    </row>
    <row r="15" spans="1:13" x14ac:dyDescent="0.25">
      <c r="A15" s="6"/>
      <c r="B15" s="6" t="s">
        <v>11</v>
      </c>
      <c r="C15" s="43">
        <v>348.40110795360999</v>
      </c>
      <c r="D15" s="43">
        <f>+C15+C15*Datos!C26</f>
        <v>380.45400988534209</v>
      </c>
      <c r="E15" s="8"/>
      <c r="G15" s="67"/>
      <c r="L15" s="3"/>
      <c r="M15" s="4"/>
    </row>
    <row r="16" spans="1:13" x14ac:dyDescent="0.25">
      <c r="A16" s="6"/>
      <c r="B16" s="6" t="s">
        <v>12</v>
      </c>
      <c r="C16" s="43">
        <v>305.46875</v>
      </c>
      <c r="D16" s="43">
        <f>+C16*Datos!C27</f>
        <v>354.34375</v>
      </c>
      <c r="E16" s="8"/>
      <c r="G16" s="67"/>
      <c r="L16" s="3"/>
      <c r="M16" s="4"/>
    </row>
    <row r="17" spans="1:13" x14ac:dyDescent="0.25">
      <c r="A17" s="2"/>
      <c r="B17" s="2" t="s">
        <v>13</v>
      </c>
      <c r="C17" s="42">
        <v>2683.3635643469756</v>
      </c>
      <c r="D17" s="42">
        <f>+D3+D6+D13+D14</f>
        <v>2849.0822092852386</v>
      </c>
      <c r="E17" s="80"/>
      <c r="G17" s="67"/>
      <c r="L17" s="3"/>
      <c r="M17" s="4"/>
    </row>
    <row r="18" spans="1:13" x14ac:dyDescent="0.25">
      <c r="A18" s="35"/>
      <c r="B18" s="35"/>
      <c r="C18" s="36"/>
      <c r="D18" s="66"/>
      <c r="G18" s="67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11396.328837140954</v>
      </c>
      <c r="L20" s="3"/>
      <c r="M20" s="4"/>
    </row>
    <row r="21" spans="1:13" x14ac:dyDescent="0.25">
      <c r="D21" s="34"/>
    </row>
    <row r="22" spans="1:13" ht="15" customHeight="1" x14ac:dyDescent="0.25">
      <c r="A22" s="87" t="s">
        <v>14</v>
      </c>
      <c r="B22" s="85"/>
      <c r="C22" s="85"/>
      <c r="D22" s="49"/>
      <c r="E22" s="9"/>
      <c r="F22" s="9"/>
      <c r="G22" s="9"/>
    </row>
    <row r="23" spans="1:13" ht="15" customHeight="1" x14ac:dyDescent="0.25">
      <c r="A23" s="86" t="s">
        <v>15</v>
      </c>
      <c r="B23" s="85"/>
      <c r="C23" s="85"/>
      <c r="D23" s="10"/>
      <c r="E23" s="10"/>
      <c r="F23" s="10"/>
      <c r="G23" s="10"/>
    </row>
    <row r="24" spans="1:13" ht="15" customHeight="1" x14ac:dyDescent="0.25">
      <c r="A24" s="86" t="s">
        <v>16</v>
      </c>
      <c r="B24" s="85"/>
      <c r="C24" s="85"/>
      <c r="D24" s="10"/>
      <c r="E24" s="10"/>
      <c r="F24" s="10"/>
      <c r="G24" s="10"/>
    </row>
    <row r="25" spans="1:13" ht="30.75" customHeight="1" x14ac:dyDescent="0.25">
      <c r="A25" s="86" t="s">
        <v>17</v>
      </c>
      <c r="B25" s="85"/>
      <c r="C25" s="85"/>
      <c r="D25" s="10"/>
      <c r="E25" s="10"/>
      <c r="F25" s="10"/>
      <c r="G25" s="10"/>
    </row>
    <row r="26" spans="1:13" ht="15" customHeight="1" x14ac:dyDescent="0.25">
      <c r="A26" s="86" t="s">
        <v>18</v>
      </c>
      <c r="B26" s="85"/>
      <c r="C26" s="85"/>
      <c r="D26" s="10"/>
      <c r="E26" s="10"/>
      <c r="F26" s="10"/>
      <c r="G26" s="10"/>
    </row>
    <row r="27" spans="1:13" ht="15" customHeight="1" x14ac:dyDescent="0.25">
      <c r="A27" s="86" t="s">
        <v>19</v>
      </c>
      <c r="B27" s="85"/>
      <c r="C27" s="85"/>
      <c r="D27" s="10"/>
      <c r="E27" s="10"/>
      <c r="F27" s="10"/>
      <c r="G27" s="10"/>
    </row>
    <row r="28" spans="1:13" ht="15" customHeight="1" x14ac:dyDescent="0.25">
      <c r="A28" s="86" t="s">
        <v>20</v>
      </c>
      <c r="B28" s="85"/>
      <c r="C28" s="85"/>
      <c r="D28" s="10"/>
      <c r="E28" s="10"/>
      <c r="F28" s="10"/>
      <c r="G28" s="10"/>
    </row>
    <row r="29" spans="1:13" ht="15" customHeight="1" x14ac:dyDescent="0.25">
      <c r="A29" s="86" t="s">
        <v>21</v>
      </c>
      <c r="B29" s="85"/>
      <c r="C29" s="85"/>
      <c r="D29" s="10"/>
      <c r="E29" s="10"/>
      <c r="F29" s="10"/>
      <c r="G29" s="10"/>
    </row>
    <row r="30" spans="1:13" ht="16.5" customHeight="1" x14ac:dyDescent="0.25">
      <c r="A30" s="86" t="s">
        <v>22</v>
      </c>
      <c r="B30" s="85"/>
      <c r="C30" s="85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28F3-6C2E-43F8-B6D0-0AA2F49FA3C2}">
  <dimension ref="A2:G16"/>
  <sheetViews>
    <sheetView workbookViewId="0">
      <selection activeCell="B17" sqref="B17"/>
    </sheetView>
  </sheetViews>
  <sheetFormatPr baseColWidth="10" defaultRowHeight="14.25" x14ac:dyDescent="0.2"/>
  <cols>
    <col min="1" max="1" width="4" customWidth="1"/>
    <col min="2" max="2" width="45.25" bestFit="1" customWidth="1"/>
    <col min="3" max="3" width="13.375" bestFit="1" customWidth="1"/>
    <col min="4" max="4" width="12.375" bestFit="1" customWidth="1"/>
    <col min="5" max="5" width="18.75" customWidth="1"/>
    <col min="6" max="6" width="14.375" customWidth="1"/>
    <col min="7" max="7" width="29.25" bestFit="1" customWidth="1"/>
  </cols>
  <sheetData>
    <row r="2" spans="1:7" ht="15" x14ac:dyDescent="0.25">
      <c r="A2" s="33" t="s">
        <v>136</v>
      </c>
      <c r="B2" s="72" t="s">
        <v>117</v>
      </c>
      <c r="C2" s="73" t="s">
        <v>127</v>
      </c>
      <c r="D2" s="72" t="s">
        <v>128</v>
      </c>
      <c r="E2" s="72" t="s">
        <v>129</v>
      </c>
      <c r="F2" s="72" t="s">
        <v>132</v>
      </c>
    </row>
    <row r="3" spans="1:7" x14ac:dyDescent="0.2">
      <c r="A3">
        <v>1</v>
      </c>
      <c r="B3" s="74" t="s">
        <v>118</v>
      </c>
      <c r="C3" s="75">
        <v>351.05</v>
      </c>
      <c r="D3" s="75">
        <f>+C3</f>
        <v>351.05</v>
      </c>
      <c r="E3" s="76" t="s">
        <v>130</v>
      </c>
      <c r="F3" s="77">
        <v>45390</v>
      </c>
    </row>
    <row r="4" spans="1:7" x14ac:dyDescent="0.2">
      <c r="A4">
        <v>2</v>
      </c>
      <c r="B4" s="74" t="s">
        <v>119</v>
      </c>
      <c r="C4" s="75">
        <v>86.5</v>
      </c>
      <c r="D4" s="78">
        <v>469</v>
      </c>
      <c r="E4" s="74" t="s">
        <v>131</v>
      </c>
      <c r="F4" s="77">
        <v>45356</v>
      </c>
    </row>
    <row r="5" spans="1:7" x14ac:dyDescent="0.2">
      <c r="A5">
        <v>3</v>
      </c>
      <c r="B5" s="74" t="s">
        <v>120</v>
      </c>
      <c r="C5" s="75">
        <v>81.430000000000007</v>
      </c>
      <c r="D5" s="75">
        <v>75</v>
      </c>
      <c r="E5" s="74" t="s">
        <v>131</v>
      </c>
      <c r="F5" s="77">
        <v>45356</v>
      </c>
    </row>
    <row r="6" spans="1:7" x14ac:dyDescent="0.2">
      <c r="A6">
        <v>4</v>
      </c>
      <c r="B6" s="74" t="s">
        <v>121</v>
      </c>
      <c r="C6" s="75">
        <v>16596.599999999999</v>
      </c>
      <c r="D6" s="75">
        <f>+C6</f>
        <v>16596.599999999999</v>
      </c>
      <c r="E6" s="76" t="s">
        <v>130</v>
      </c>
      <c r="F6" s="77">
        <v>45390</v>
      </c>
    </row>
    <row r="7" spans="1:7" x14ac:dyDescent="0.2">
      <c r="A7">
        <v>5</v>
      </c>
      <c r="B7" s="74" t="s">
        <v>122</v>
      </c>
      <c r="C7" s="75">
        <v>8931.92</v>
      </c>
      <c r="D7" s="75">
        <f>+C7</f>
        <v>8931.92</v>
      </c>
      <c r="E7" s="76" t="s">
        <v>130</v>
      </c>
      <c r="F7" s="77">
        <v>45390</v>
      </c>
    </row>
    <row r="8" spans="1:7" x14ac:dyDescent="0.2">
      <c r="A8">
        <v>6</v>
      </c>
      <c r="B8" s="74" t="s">
        <v>123</v>
      </c>
      <c r="C8" s="78">
        <v>10400.67</v>
      </c>
      <c r="D8" s="78">
        <v>255</v>
      </c>
      <c r="E8" s="74" t="s">
        <v>131</v>
      </c>
      <c r="F8" s="79">
        <v>45274</v>
      </c>
    </row>
    <row r="9" spans="1:7" x14ac:dyDescent="0.2">
      <c r="A9">
        <v>7</v>
      </c>
      <c r="B9" s="74" t="s">
        <v>124</v>
      </c>
      <c r="C9" s="75">
        <v>27.54</v>
      </c>
      <c r="D9" s="78">
        <f>0.2*883.5</f>
        <v>176.70000000000002</v>
      </c>
      <c r="E9" s="76" t="s">
        <v>133</v>
      </c>
      <c r="F9" s="77">
        <v>45390</v>
      </c>
      <c r="G9" s="33"/>
    </row>
    <row r="10" spans="1:7" x14ac:dyDescent="0.2">
      <c r="A10">
        <v>8</v>
      </c>
      <c r="B10" s="74" t="s">
        <v>125</v>
      </c>
      <c r="C10" s="75">
        <v>28.04</v>
      </c>
      <c r="D10" s="78">
        <f>0.2*883.5</f>
        <v>176.70000000000002</v>
      </c>
      <c r="E10" s="76" t="s">
        <v>133</v>
      </c>
      <c r="F10" s="77">
        <v>45390</v>
      </c>
    </row>
    <row r="11" spans="1:7" x14ac:dyDescent="0.2">
      <c r="A11">
        <v>9</v>
      </c>
      <c r="B11" s="74" t="s">
        <v>126</v>
      </c>
      <c r="C11" s="75">
        <v>22.25</v>
      </c>
      <c r="D11" s="78">
        <f>0.2*883.5</f>
        <v>176.70000000000002</v>
      </c>
      <c r="E11" s="76" t="s">
        <v>133</v>
      </c>
      <c r="F11" s="77">
        <v>45390</v>
      </c>
    </row>
    <row r="14" spans="1:7" x14ac:dyDescent="0.2">
      <c r="B14" s="33" t="s">
        <v>134</v>
      </c>
    </row>
    <row r="15" spans="1:7" x14ac:dyDescent="0.2">
      <c r="B15" s="33" t="s">
        <v>135</v>
      </c>
    </row>
    <row r="16" spans="1:7" x14ac:dyDescent="0.2">
      <c r="B16" s="33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Insumos</vt:lpstr>
      <vt:lpstr>Costeo</vt:lpstr>
      <vt:lpstr>Insumos CMQ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2024-07-08T19:44:45Z</dcterms:modified>
</cp:coreProperties>
</file>