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Recetas\Informacion\PEÑON\"/>
    </mc:Choice>
  </mc:AlternateContent>
  <xr:revisionPtr revIDLastSave="0" documentId="13_ncr:1_{8ABCD64D-73EB-4807-BEDD-621049E26362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atos" sheetId="3" r:id="rId1"/>
    <sheet name="Costeo" sheetId="1" r:id="rId2"/>
    <sheet name="Insumos" sheetId="2" r:id="rId3"/>
  </sheets>
  <calcPr calcId="181029"/>
  <extLst>
    <ext uri="GoogleSheetsCustomDataVersion1">
      <go:sheetsCustomData xmlns:go="http://customooxmlschemas.google.com/" r:id="rId6" roundtripDataSignature="AMtx7mjwvivDW5P9gcKhQIkq1Qh0yzOMQA=="/>
    </ext>
  </extLst>
</workbook>
</file>

<file path=xl/calcChain.xml><?xml version="1.0" encoding="utf-8"?>
<calcChain xmlns="http://schemas.openxmlformats.org/spreadsheetml/2006/main">
  <c r="C35" i="3" l="1"/>
  <c r="E20" i="1"/>
  <c r="C16" i="1"/>
  <c r="D16" i="1" s="1"/>
  <c r="C15" i="1"/>
  <c r="C14" i="1"/>
  <c r="C13" i="1"/>
  <c r="C8" i="1"/>
  <c r="C9" i="1"/>
  <c r="C10" i="1"/>
  <c r="C11" i="1"/>
  <c r="C12" i="1"/>
  <c r="C7" i="1"/>
  <c r="C6" i="1"/>
  <c r="C5" i="1"/>
  <c r="C4" i="1"/>
  <c r="C3" i="1"/>
  <c r="D15" i="1" l="1"/>
  <c r="D12" i="1"/>
  <c r="D11" i="1"/>
  <c r="D10" i="1"/>
  <c r="D9" i="1"/>
  <c r="D7" i="1"/>
  <c r="D8" i="1"/>
  <c r="G20" i="2"/>
  <c r="D14" i="1" l="1"/>
  <c r="D6" i="1"/>
  <c r="G11" i="2"/>
  <c r="G10" i="2"/>
  <c r="G18" i="2"/>
  <c r="G17" i="2"/>
  <c r="G16" i="2"/>
  <c r="G15" i="2"/>
  <c r="G14" i="2"/>
  <c r="G13" i="2"/>
  <c r="G12" i="2"/>
  <c r="C17" i="1"/>
  <c r="D2" i="1"/>
  <c r="C2" i="1"/>
  <c r="H20" i="2" l="1"/>
  <c r="I20" i="2" s="1"/>
  <c r="J20" i="2" s="1"/>
  <c r="D4" i="1" s="1"/>
  <c r="H18" i="2"/>
  <c r="I18" i="2" s="1"/>
  <c r="J18" i="2" s="1"/>
  <c r="H17" i="2"/>
  <c r="I17" i="2" s="1"/>
  <c r="J17" i="2" s="1"/>
  <c r="H16" i="2"/>
  <c r="I16" i="2" s="1"/>
  <c r="J16" i="2" s="1"/>
  <c r="H15" i="2"/>
  <c r="I15" i="2" s="1"/>
  <c r="J15" i="2" s="1"/>
  <c r="H14" i="2"/>
  <c r="I14" i="2" s="1"/>
  <c r="J14" i="2" s="1"/>
  <c r="H13" i="2"/>
  <c r="I13" i="2" s="1"/>
  <c r="J13" i="2" s="1"/>
  <c r="H12" i="2"/>
  <c r="I12" i="2" s="1"/>
  <c r="J12" i="2" s="1"/>
  <c r="F11" i="2"/>
  <c r="H11" i="2" s="1"/>
  <c r="I11" i="2" s="1"/>
  <c r="J11" i="2" s="1"/>
  <c r="F10" i="2"/>
  <c r="H10" i="2" s="1"/>
  <c r="H19" i="2" l="1"/>
  <c r="I10" i="2"/>
  <c r="F19" i="2"/>
  <c r="J10" i="2" l="1"/>
  <c r="J19" i="2" s="1"/>
  <c r="D5" i="1" s="1"/>
  <c r="D3" i="1" s="1"/>
  <c r="D13" i="1" s="1"/>
  <c r="I19" i="2"/>
  <c r="D17" i="1" l="1"/>
  <c r="D20" i="1" s="1"/>
</calcChain>
</file>

<file path=xl/sharedStrings.xml><?xml version="1.0" encoding="utf-8"?>
<sst xmlns="http://schemas.openxmlformats.org/spreadsheetml/2006/main" count="141" uniqueCount="111">
  <si>
    <t>x Botella 500cm3</t>
  </si>
  <si>
    <t>Alcohol</t>
  </si>
  <si>
    <t xml:space="preserve">Botánicos </t>
  </si>
  <si>
    <t>Insumos Packaging</t>
  </si>
  <si>
    <t>Precinto termocontraible</t>
  </si>
  <si>
    <t>Palet, esquinero y estrichado</t>
  </si>
  <si>
    <t>Tapon</t>
  </si>
  <si>
    <t>Etiqueta</t>
  </si>
  <si>
    <t>Botella</t>
  </si>
  <si>
    <t>Caja + Separador (proporcional)</t>
  </si>
  <si>
    <t>Servicios</t>
  </si>
  <si>
    <t xml:space="preserve">Servicios e  indirectos </t>
  </si>
  <si>
    <t>Fazonado</t>
  </si>
  <si>
    <t>TOTAL</t>
  </si>
  <si>
    <t>Consideraciones del presupuesto:</t>
  </si>
  <si>
    <t>Valores antes de impuestos (IVA e Internos).</t>
  </si>
  <si>
    <t>Costo por botella de 500cm3 en caja x 4 u. en palet de 245 cajas en 7 pisos.</t>
  </si>
  <si>
    <t>Incluye el costo del servicio, destilado, alcohol BCA 6 destilaciones, agua, Botánicos, Botella, etiquetas, tapón, caja, presinto de seguridad termocontraíble, palet, esquineros, estrichado</t>
  </si>
  <si>
    <t>NO incluye: cualquier otro elemento no mencionado</t>
  </si>
  <si>
    <t>Entrega en origen (Av Italia 900, Malagueño, Córdoba).</t>
  </si>
  <si>
    <t>Condicíon de pago 30 días.</t>
  </si>
  <si>
    <t>Se deberá contemplar un margen de seguridad por rotura y/o desperdicio de los insumos provistos por CMQ (+- 5%)</t>
  </si>
  <si>
    <t>Plazo de entrega: 20 días hábiles desde desde recibos los insumos (suponiendo pedido de un equipo).</t>
  </si>
  <si>
    <t>Fórmula de ajuste de precios</t>
  </si>
  <si>
    <t>Insumos</t>
  </si>
  <si>
    <t>Servicios e indirectos</t>
  </si>
  <si>
    <t>Según Indice de Inflación INDEC</t>
  </si>
  <si>
    <t xml:space="preserve">Según paritarias personal JM </t>
  </si>
  <si>
    <t>Gin Bosque</t>
  </si>
  <si>
    <t>Alcohol 96% en el Macerador:</t>
  </si>
  <si>
    <t>Pink</t>
  </si>
  <si>
    <t>Roble</t>
  </si>
  <si>
    <t>MACERACIÓN:</t>
  </si>
  <si>
    <t>Sí</t>
  </si>
  <si>
    <t>Litros resultantes/batch</t>
  </si>
  <si>
    <t>Gin terminado (42%)</t>
  </si>
  <si>
    <t>Serrano</t>
  </si>
  <si>
    <t>INSUMO</t>
  </si>
  <si>
    <t>Cantidad (gr)</t>
  </si>
  <si>
    <t>Costo por KG</t>
  </si>
  <si>
    <t>Costo/batch</t>
  </si>
  <si>
    <t>Costo/litro</t>
  </si>
  <si>
    <t>Costo/Botella</t>
  </si>
  <si>
    <t>Enebro Patagónico</t>
  </si>
  <si>
    <t>Coriandro</t>
  </si>
  <si>
    <t>Cardamomo</t>
  </si>
  <si>
    <t>Clavo de Olor</t>
  </si>
  <si>
    <t>Cedron</t>
  </si>
  <si>
    <t>Flor de Azhar</t>
  </si>
  <si>
    <t>Aceite esencial Limon (ml)</t>
  </si>
  <si>
    <t>Aceite esencial Pomelo (ml)</t>
  </si>
  <si>
    <t>Total botánicos</t>
  </si>
  <si>
    <t>ALCOHOL</t>
  </si>
  <si>
    <t>Observaciones:</t>
  </si>
  <si>
    <t>Obser</t>
  </si>
  <si>
    <t xml:space="preserve">- Se machacan Enebro 5013,45 gr. (El 26%). El resto se pone en el macerado sin machacar
-Se machacan Coriandro 347,2 gr. (El 9%). El resto se pone en el macerado sin machacar
</t>
  </si>
  <si>
    <t>Insumos Líquido</t>
  </si>
  <si>
    <t>Ajustes habitualmente Febrerio y Agosto</t>
  </si>
  <si>
    <t>IGB004</t>
  </si>
  <si>
    <t>IGB005 / IGB006</t>
  </si>
  <si>
    <t>IGB001</t>
  </si>
  <si>
    <t>IGB003</t>
  </si>
  <si>
    <t>ICB018</t>
  </si>
  <si>
    <t>ICB003</t>
  </si>
  <si>
    <t>ICB004</t>
  </si>
  <si>
    <t>ICB006</t>
  </si>
  <si>
    <t>ICB011</t>
  </si>
  <si>
    <t>ICB015</t>
  </si>
  <si>
    <t>ICB016</t>
  </si>
  <si>
    <t>ICB017</t>
  </si>
  <si>
    <t>ICAL003</t>
  </si>
  <si>
    <t>IGB007</t>
  </si>
  <si>
    <t>Según cotización del mes * Desde 05-2022 se acuerda aplicar 20% sobre costo de insumos</t>
  </si>
  <si>
    <t xml:space="preserve">Precio x Caja x 4 </t>
  </si>
  <si>
    <t>Otros Costos - 20% s/ Insumos</t>
  </si>
  <si>
    <t>Cotización</t>
  </si>
  <si>
    <t>Fecha Anterior</t>
  </si>
  <si>
    <t>Fecha Nueva</t>
  </si>
  <si>
    <t>Copiar Valores mes anterior columna D y pegar en C</t>
  </si>
  <si>
    <t>Tipo de Cambio</t>
  </si>
  <si>
    <t>Inflación s/INDEC</t>
  </si>
  <si>
    <t>Aumento Sueldos Mes anterior</t>
  </si>
  <si>
    <t>IGB005</t>
  </si>
  <si>
    <t>IGB006</t>
  </si>
  <si>
    <t>Caja</t>
  </si>
  <si>
    <t>Separador</t>
  </si>
  <si>
    <t>PACK43</t>
  </si>
  <si>
    <t>Pallet</t>
  </si>
  <si>
    <t>Esquinero</t>
  </si>
  <si>
    <t>Total: Palet, esquinero y estrichado</t>
  </si>
  <si>
    <t>ICES001</t>
  </si>
  <si>
    <t>Stretch</t>
  </si>
  <si>
    <t>*4 por pallet</t>
  </si>
  <si>
    <t>* 1 rollo c/4 pallets</t>
  </si>
  <si>
    <t>*1 pallet = 245 cajas = 980 botellas</t>
  </si>
  <si>
    <t>ICPA001</t>
  </si>
  <si>
    <t>ICST001</t>
  </si>
  <si>
    <t>PACK26</t>
  </si>
  <si>
    <t>* 4 botellas por caja</t>
  </si>
  <si>
    <t>Etiquetas (2 x caja) Cod Cajas</t>
  </si>
  <si>
    <t>* Para Gin Tonic</t>
  </si>
  <si>
    <t>* 2 x caja - 4 Botellas (de 1 etiqueta salen 2)</t>
  </si>
  <si>
    <t>* 1 separador por caja</t>
  </si>
  <si>
    <t>para comparativa mes anterior</t>
  </si>
  <si>
    <t>* Ej. Al 30/09 - tomar Agosto</t>
  </si>
  <si>
    <t>*</t>
  </si>
  <si>
    <t>* aumento 22% sueldos Sept</t>
  </si>
  <si>
    <t>Enebro Albania</t>
  </si>
  <si>
    <t>ICB021</t>
  </si>
  <si>
    <t>* Aumento Septiembre 22% / Enero 17,2%</t>
  </si>
  <si>
    <t>*6,3% inflación indec (Ene)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</si>
</sst>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_);[Red]\(&quot;$&quot;\ #,##0.00\)"/>
    <numFmt numFmtId="165" formatCode="_(&quot;$&quot;\ * #,##0.00_);_(&quot;$&quot;\ * \(#,##0.00\);_(&quot;$&quot;\ * &quot;-&quot;??_);_(@_)"/>
    <numFmt numFmtId="166" formatCode="_(&quot;$&quot;\ * #,##0.000_);_(&quot;$&quot;\ * \(#,##0.000\);_(&quot;$&quot;\ * &quot;-&quot;??_);_(@_)"/>
    <numFmt numFmtId="167" formatCode="dd/mm/yy"/>
    <numFmt numFmtId="168" formatCode="_-&quot;$&quot;\ * #,##0.000_-;\-&quot;$&quot;\ * #,##0.000_-;_-&quot;$&quot;\ * &quot;-&quot;??_-;_-@_-"/>
    <numFmt numFmtId="169" formatCode="_-* #,##0.000_-;\-* #,##0.000_-;_-* &quot;-&quot;??_-;_-@_-"/>
  </numFmts>
  <fonts count="26" x14ac:knownFonts="1">
    <font>
      <sz val="11"/>
      <color theme="1"/>
      <name val="Arial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24"/>
      <color theme="1"/>
      <name val="Arial"/>
      <family val="2"/>
    </font>
    <font>
      <sz val="24"/>
      <color theme="1"/>
      <name val="Arial"/>
      <family val="2"/>
    </font>
    <font>
      <sz val="10"/>
      <color theme="1"/>
      <name val="Arial"/>
      <family val="2"/>
    </font>
    <font>
      <b/>
      <sz val="17"/>
      <color theme="1"/>
      <name val="Arial"/>
      <family val="2"/>
    </font>
    <font>
      <sz val="10"/>
      <color rgb="FFFFFFFF"/>
      <name val="Arial"/>
      <family val="2"/>
    </font>
    <font>
      <b/>
      <u/>
      <sz val="18"/>
      <color theme="1"/>
      <name val="Arial"/>
      <family val="2"/>
    </font>
    <font>
      <b/>
      <sz val="18"/>
      <color theme="1"/>
      <name val="Arial"/>
      <family val="2"/>
    </font>
    <font>
      <b/>
      <sz val="10"/>
      <color theme="1"/>
      <name val="Arial"/>
      <family val="2"/>
    </font>
    <font>
      <b/>
      <u/>
      <sz val="24"/>
      <color theme="1"/>
      <name val="Arial"/>
      <family val="2"/>
    </font>
    <font>
      <sz val="1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b/>
      <sz val="12"/>
      <color theme="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21" fillId="0" borderId="0" applyFont="0" applyFill="0" applyBorder="0" applyAlignment="0" applyProtection="0"/>
  </cellStyleXfs>
  <cellXfs count="79">
    <xf numFmtId="0" fontId="0" fillId="0" borderId="0" xfId="0"/>
    <xf numFmtId="0" fontId="1" fillId="0" borderId="0" xfId="0" applyFont="1"/>
    <xf numFmtId="0" fontId="2" fillId="0" borderId="1" xfId="0" applyFont="1" applyBorder="1"/>
    <xf numFmtId="165" fontId="2" fillId="0" borderId="1" xfId="0" applyNumberFormat="1" applyFont="1" applyBorder="1"/>
    <xf numFmtId="165" fontId="1" fillId="0" borderId="0" xfId="0" applyNumberFormat="1" applyFont="1"/>
    <xf numFmtId="166" fontId="1" fillId="0" borderId="0" xfId="0" applyNumberFormat="1" applyFont="1"/>
    <xf numFmtId="0" fontId="3" fillId="0" borderId="1" xfId="0" applyFont="1" applyBorder="1"/>
    <xf numFmtId="0" fontId="1" fillId="0" borderId="1" xfId="0" applyFont="1" applyBorder="1"/>
    <xf numFmtId="165" fontId="1" fillId="0" borderId="1" xfId="0" applyNumberFormat="1" applyFont="1" applyBorder="1"/>
    <xf numFmtId="166" fontId="2" fillId="0" borderId="1" xfId="0" applyNumberFormat="1" applyFont="1" applyBorder="1"/>
    <xf numFmtId="166" fontId="1" fillId="0" borderId="1" xfId="0" applyNumberFormat="1" applyFont="1" applyBorder="1"/>
    <xf numFmtId="0" fontId="4" fillId="0" borderId="1" xfId="0" applyFont="1" applyBorder="1"/>
    <xf numFmtId="165" fontId="4" fillId="0" borderId="1" xfId="0" applyNumberFormat="1" applyFont="1" applyBorder="1"/>
    <xf numFmtId="0" fontId="5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wrapText="1"/>
    </xf>
    <xf numFmtId="0" fontId="9" fillId="0" borderId="0" xfId="0" applyFont="1"/>
    <xf numFmtId="12" fontId="9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wrapText="1"/>
    </xf>
    <xf numFmtId="0" fontId="13" fillId="0" borderId="1" xfId="0" applyFont="1" applyBorder="1"/>
    <xf numFmtId="0" fontId="8" fillId="0" borderId="1" xfId="0" applyFont="1" applyBorder="1"/>
    <xf numFmtId="0" fontId="14" fillId="0" borderId="0" xfId="0" applyFont="1"/>
    <xf numFmtId="0" fontId="16" fillId="0" borderId="1" xfId="0" applyFont="1" applyBorder="1"/>
    <xf numFmtId="0" fontId="17" fillId="0" borderId="1" xfId="0" applyFont="1" applyBorder="1"/>
    <xf numFmtId="165" fontId="8" fillId="0" borderId="1" xfId="0" applyNumberFormat="1" applyFont="1" applyBorder="1"/>
    <xf numFmtId="0" fontId="18" fillId="0" borderId="1" xfId="0" applyFont="1" applyBorder="1"/>
    <xf numFmtId="165" fontId="18" fillId="0" borderId="1" xfId="0" applyNumberFormat="1" applyFont="1" applyBorder="1"/>
    <xf numFmtId="0" fontId="16" fillId="0" borderId="0" xfId="0" applyFont="1"/>
    <xf numFmtId="165" fontId="13" fillId="0" borderId="1" xfId="0" applyNumberFormat="1" applyFont="1" applyBorder="1"/>
    <xf numFmtId="164" fontId="8" fillId="0" borderId="0" xfId="0" applyNumberFormat="1" applyFont="1"/>
    <xf numFmtId="0" fontId="19" fillId="0" borderId="0" xfId="0" applyFont="1"/>
    <xf numFmtId="44" fontId="1" fillId="0" borderId="0" xfId="0" applyNumberFormat="1" applyFont="1" applyAlignment="1">
      <alignment wrapText="1"/>
    </xf>
    <xf numFmtId="0" fontId="2" fillId="0" borderId="0" xfId="0" applyFont="1"/>
    <xf numFmtId="165" fontId="2" fillId="0" borderId="0" xfId="0" applyNumberFormat="1" applyFont="1"/>
    <xf numFmtId="14" fontId="2" fillId="0" borderId="1" xfId="0" applyNumberFormat="1" applyFont="1" applyBorder="1"/>
    <xf numFmtId="0" fontId="20" fillId="0" borderId="0" xfId="0" applyFont="1"/>
    <xf numFmtId="166" fontId="2" fillId="0" borderId="0" xfId="0" applyNumberFormat="1" applyFont="1"/>
    <xf numFmtId="14" fontId="0" fillId="0" borderId="0" xfId="0" applyNumberFormat="1"/>
    <xf numFmtId="14" fontId="2" fillId="2" borderId="1" xfId="0" applyNumberFormat="1" applyFont="1" applyFill="1" applyBorder="1"/>
    <xf numFmtId="43" fontId="0" fillId="0" borderId="0" xfId="1" applyFont="1" applyAlignment="1"/>
    <xf numFmtId="14" fontId="0" fillId="2" borderId="0" xfId="0" applyNumberFormat="1" applyFill="1"/>
    <xf numFmtId="44" fontId="0" fillId="0" borderId="0" xfId="0" applyNumberFormat="1"/>
    <xf numFmtId="44" fontId="20" fillId="0" borderId="0" xfId="0" applyNumberFormat="1" applyFont="1"/>
    <xf numFmtId="43" fontId="0" fillId="2" borderId="0" xfId="1" applyFont="1" applyFill="1" applyAlignment="1"/>
    <xf numFmtId="43" fontId="20" fillId="2" borderId="0" xfId="1" applyFont="1" applyFill="1" applyAlignment="1"/>
    <xf numFmtId="0" fontId="22" fillId="0" borderId="0" xfId="0" applyFont="1"/>
    <xf numFmtId="43" fontId="22" fillId="2" borderId="0" xfId="1" applyFont="1" applyFill="1" applyAlignment="1"/>
    <xf numFmtId="43" fontId="2" fillId="0" borderId="1" xfId="1" applyFont="1" applyBorder="1"/>
    <xf numFmtId="43" fontId="1" fillId="0" borderId="1" xfId="1" applyFont="1" applyBorder="1"/>
    <xf numFmtId="43" fontId="1" fillId="0" borderId="1" xfId="1" applyFont="1" applyFill="1" applyBorder="1"/>
    <xf numFmtId="43" fontId="4" fillId="0" borderId="1" xfId="1" applyFont="1" applyBorder="1"/>
    <xf numFmtId="14" fontId="20" fillId="0" borderId="0" xfId="0" applyNumberFormat="1" applyFont="1"/>
    <xf numFmtId="0" fontId="15" fillId="0" borderId="0" xfId="0" applyFont="1"/>
    <xf numFmtId="43" fontId="19" fillId="0" borderId="0" xfId="1" applyFont="1" applyAlignment="1"/>
    <xf numFmtId="43" fontId="23" fillId="2" borderId="0" xfId="1" applyFont="1" applyFill="1" applyAlignment="1"/>
    <xf numFmtId="168" fontId="2" fillId="0" borderId="0" xfId="0" applyNumberFormat="1" applyFont="1" applyAlignment="1">
      <alignment horizontal="left" wrapText="1"/>
    </xf>
    <xf numFmtId="43" fontId="20" fillId="0" borderId="0" xfId="1" applyFont="1" applyFill="1" applyAlignment="1"/>
    <xf numFmtId="43" fontId="0" fillId="0" borderId="0" xfId="1" applyFont="1" applyFill="1" applyAlignment="1"/>
    <xf numFmtId="43" fontId="22" fillId="0" borderId="0" xfId="1" applyFont="1" applyFill="1" applyAlignment="1"/>
    <xf numFmtId="10" fontId="0" fillId="0" borderId="0" xfId="0" applyNumberFormat="1"/>
    <xf numFmtId="43" fontId="24" fillId="2" borderId="0" xfId="1" applyFont="1" applyFill="1" applyAlignment="1"/>
    <xf numFmtId="169" fontId="0" fillId="0" borderId="0" xfId="1" applyNumberFormat="1" applyFont="1" applyFill="1" applyAlignment="1"/>
    <xf numFmtId="0" fontId="25" fillId="0" borderId="1" xfId="0" applyFont="1" applyBorder="1"/>
    <xf numFmtId="0" fontId="0" fillId="0" borderId="0" xfId="0" applyAlignment="1">
      <alignment horizontal="left"/>
    </xf>
    <xf numFmtId="0" fontId="1" fillId="0" borderId="0" xfId="0" applyFont="1" applyAlignment="1">
      <alignment horizontal="left" wrapText="1"/>
    </xf>
    <xf numFmtId="0" fontId="0" fillId="0" borderId="0" xfId="0"/>
    <xf numFmtId="0" fontId="2" fillId="0" borderId="0" xfId="0" applyFont="1" applyAlignment="1">
      <alignment horizontal="left" wrapText="1"/>
    </xf>
    <xf numFmtId="167" fontId="13" fillId="0" borderId="2" xfId="0" applyNumberFormat="1" applyFont="1" applyBorder="1" applyAlignment="1">
      <alignment horizontal="center"/>
    </xf>
    <xf numFmtId="0" fontId="15" fillId="0" borderId="3" xfId="0" applyFont="1" applyBorder="1"/>
    <xf numFmtId="0" fontId="15" fillId="0" borderId="4" xfId="0" applyFont="1" applyBorder="1"/>
    <xf numFmtId="0" fontId="17" fillId="0" borderId="0" xfId="0" applyFont="1" applyAlignment="1">
      <alignment horizont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CE5EE-E4DD-48D8-9E65-ACBD779FBBFE}">
  <dimension ref="A1:F42"/>
  <sheetViews>
    <sheetView topLeftCell="A24" workbookViewId="0">
      <selection activeCell="C35" sqref="C35"/>
    </sheetView>
  </sheetViews>
  <sheetFormatPr baseColWidth="10" defaultRowHeight="14.25" x14ac:dyDescent="0.2"/>
  <cols>
    <col min="1" max="1" width="14.875" customWidth="1"/>
    <col min="2" max="2" width="33.5" customWidth="1"/>
    <col min="3" max="3" width="12.75" bestFit="1" customWidth="1"/>
  </cols>
  <sheetData>
    <row r="1" spans="1:4" x14ac:dyDescent="0.2">
      <c r="C1" t="s">
        <v>76</v>
      </c>
      <c r="D1" t="s">
        <v>77</v>
      </c>
    </row>
    <row r="2" spans="1:4" ht="15" x14ac:dyDescent="0.25">
      <c r="A2" s="43" t="s">
        <v>75</v>
      </c>
      <c r="C2" s="48">
        <v>44927</v>
      </c>
      <c r="D2" s="48">
        <v>44958</v>
      </c>
    </row>
    <row r="3" spans="1:4" x14ac:dyDescent="0.2">
      <c r="C3" s="45"/>
      <c r="D3" s="45"/>
    </row>
    <row r="4" spans="1:4" x14ac:dyDescent="0.2">
      <c r="A4" s="71" t="s">
        <v>78</v>
      </c>
      <c r="B4" s="71"/>
      <c r="C4" s="47">
        <v>120.67774199444446</v>
      </c>
    </row>
    <row r="5" spans="1:4" x14ac:dyDescent="0.2">
      <c r="A5" s="38" t="s">
        <v>103</v>
      </c>
      <c r="C5" s="47">
        <v>54</v>
      </c>
    </row>
    <row r="6" spans="1:4" x14ac:dyDescent="0.2">
      <c r="C6" s="47">
        <v>66.67774199444446</v>
      </c>
    </row>
    <row r="7" spans="1:4" x14ac:dyDescent="0.2">
      <c r="C7" s="47">
        <v>174.86516836734694</v>
      </c>
    </row>
    <row r="8" spans="1:4" x14ac:dyDescent="0.2">
      <c r="C8" s="47">
        <v>1.35</v>
      </c>
    </row>
    <row r="9" spans="1:4" x14ac:dyDescent="0.2">
      <c r="C9" s="47">
        <v>5.1951683673469393</v>
      </c>
    </row>
    <row r="10" spans="1:4" x14ac:dyDescent="0.2">
      <c r="C10" s="47">
        <v>55.9</v>
      </c>
    </row>
    <row r="11" spans="1:4" x14ac:dyDescent="0.2">
      <c r="C11" s="47">
        <v>24.8</v>
      </c>
    </row>
    <row r="12" spans="1:4" x14ac:dyDescent="0.2">
      <c r="C12" s="47">
        <v>66.37</v>
      </c>
    </row>
    <row r="13" spans="1:4" x14ac:dyDescent="0.2">
      <c r="C13" s="47">
        <v>21.25</v>
      </c>
    </row>
    <row r="14" spans="1:4" x14ac:dyDescent="0.2">
      <c r="C14" s="47">
        <v>59.108582072358288</v>
      </c>
    </row>
    <row r="15" spans="1:4" x14ac:dyDescent="0.2">
      <c r="C15" s="47">
        <v>111.65593091936694</v>
      </c>
    </row>
    <row r="16" spans="1:4" x14ac:dyDescent="0.2">
      <c r="C16" s="47">
        <v>51.06316691936695</v>
      </c>
    </row>
    <row r="17" spans="1:5" x14ac:dyDescent="0.2">
      <c r="C17" s="47">
        <v>60.592763999999995</v>
      </c>
    </row>
    <row r="19" spans="1:5" ht="15" x14ac:dyDescent="0.25">
      <c r="A19" s="43" t="s">
        <v>79</v>
      </c>
      <c r="B19" s="59">
        <v>44960</v>
      </c>
      <c r="C19" s="64">
        <v>195</v>
      </c>
      <c r="D19" s="43"/>
    </row>
    <row r="20" spans="1:5" ht="15" x14ac:dyDescent="0.25">
      <c r="A20" t="s">
        <v>61</v>
      </c>
      <c r="B20" t="s">
        <v>43</v>
      </c>
      <c r="C20" s="52">
        <v>4860</v>
      </c>
      <c r="D20" s="47"/>
    </row>
    <row r="21" spans="1:5" ht="15" x14ac:dyDescent="0.25">
      <c r="A21" s="38" t="s">
        <v>108</v>
      </c>
      <c r="B21" s="38" t="s">
        <v>107</v>
      </c>
      <c r="C21" s="64">
        <v>8632.11</v>
      </c>
      <c r="D21" s="47"/>
      <c r="E21" s="38"/>
    </row>
    <row r="22" spans="1:5" ht="15" x14ac:dyDescent="0.25">
      <c r="A22" t="s">
        <v>63</v>
      </c>
      <c r="B22" t="s">
        <v>44</v>
      </c>
      <c r="C22" s="64">
        <v>373</v>
      </c>
      <c r="D22" s="47"/>
    </row>
    <row r="23" spans="1:5" ht="15" x14ac:dyDescent="0.25">
      <c r="A23" t="s">
        <v>64</v>
      </c>
      <c r="B23" t="s">
        <v>45</v>
      </c>
      <c r="C23" s="64">
        <v>18200</v>
      </c>
      <c r="D23" s="47"/>
    </row>
    <row r="24" spans="1:5" x14ac:dyDescent="0.2">
      <c r="A24" t="s">
        <v>65</v>
      </c>
      <c r="B24" t="s">
        <v>46</v>
      </c>
      <c r="C24" s="65">
        <v>3404</v>
      </c>
      <c r="D24" s="47"/>
    </row>
    <row r="25" spans="1:5" x14ac:dyDescent="0.2">
      <c r="A25" t="s">
        <v>66</v>
      </c>
      <c r="B25" t="s">
        <v>47</v>
      </c>
      <c r="C25" s="65">
        <v>794.14</v>
      </c>
      <c r="D25" s="47"/>
    </row>
    <row r="26" spans="1:5" ht="15" x14ac:dyDescent="0.25">
      <c r="A26" t="s">
        <v>67</v>
      </c>
      <c r="B26" t="s">
        <v>48</v>
      </c>
      <c r="C26" s="52">
        <v>8892.75</v>
      </c>
      <c r="D26" s="47"/>
    </row>
    <row r="27" spans="1:5" x14ac:dyDescent="0.2">
      <c r="A27" t="s">
        <v>68</v>
      </c>
      <c r="B27" t="s">
        <v>49</v>
      </c>
      <c r="C27" s="65">
        <v>69.5</v>
      </c>
      <c r="D27" s="47"/>
    </row>
    <row r="28" spans="1:5" x14ac:dyDescent="0.2">
      <c r="A28" t="s">
        <v>69</v>
      </c>
      <c r="B28" t="s">
        <v>50</v>
      </c>
      <c r="C28" s="65">
        <v>81</v>
      </c>
      <c r="D28" s="47"/>
    </row>
    <row r="29" spans="1:5" x14ac:dyDescent="0.2">
      <c r="A29" t="s">
        <v>70</v>
      </c>
      <c r="B29" t="s">
        <v>52</v>
      </c>
      <c r="C29" s="51">
        <v>189</v>
      </c>
      <c r="D29" s="61" t="s">
        <v>105</v>
      </c>
    </row>
    <row r="30" spans="1:5" x14ac:dyDescent="0.2">
      <c r="A30" t="s">
        <v>86</v>
      </c>
      <c r="B30" t="s">
        <v>4</v>
      </c>
      <c r="C30" s="51">
        <v>1.35</v>
      </c>
    </row>
    <row r="31" spans="1:5" x14ac:dyDescent="0.2">
      <c r="A31" s="38" t="s">
        <v>95</v>
      </c>
      <c r="B31" t="s">
        <v>87</v>
      </c>
      <c r="C31" s="65">
        <v>1195.04</v>
      </c>
      <c r="D31" s="38" t="s">
        <v>94</v>
      </c>
    </row>
    <row r="32" spans="1:5" x14ac:dyDescent="0.2">
      <c r="A32" s="38" t="s">
        <v>90</v>
      </c>
      <c r="B32" t="s">
        <v>88</v>
      </c>
      <c r="C32" s="65">
        <v>141</v>
      </c>
      <c r="D32" s="38" t="s">
        <v>92</v>
      </c>
    </row>
    <row r="33" spans="1:6" x14ac:dyDescent="0.2">
      <c r="A33" s="38" t="s">
        <v>96</v>
      </c>
      <c r="B33" s="38" t="s">
        <v>91</v>
      </c>
      <c r="C33" s="65">
        <v>2040.27</v>
      </c>
      <c r="D33" s="38" t="s">
        <v>93</v>
      </c>
    </row>
    <row r="34" spans="1:6" s="53" customFormat="1" ht="15" x14ac:dyDescent="0.25">
      <c r="A34" s="53" t="s">
        <v>97</v>
      </c>
      <c r="B34" s="53" t="s">
        <v>99</v>
      </c>
      <c r="C34" s="66">
        <v>0</v>
      </c>
      <c r="D34" s="53" t="s">
        <v>101</v>
      </c>
      <c r="F34" s="53">
        <v>12.55</v>
      </c>
    </row>
    <row r="35" spans="1:6" s="43" customFormat="1" ht="15" x14ac:dyDescent="0.25">
      <c r="B35" s="43" t="s">
        <v>89</v>
      </c>
      <c r="C35" s="64">
        <f>+(C31/980)+((C32*4)/980)+((C33/4)/980)+(C34/4)</f>
        <v>2.3154158163265306</v>
      </c>
    </row>
    <row r="36" spans="1:6" ht="15" x14ac:dyDescent="0.25">
      <c r="A36" t="s">
        <v>71</v>
      </c>
      <c r="B36" t="s">
        <v>6</v>
      </c>
      <c r="C36" s="52">
        <v>60.08</v>
      </c>
      <c r="D36" s="38" t="s">
        <v>105</v>
      </c>
    </row>
    <row r="37" spans="1:6" x14ac:dyDescent="0.2">
      <c r="A37" t="s">
        <v>60</v>
      </c>
      <c r="B37" t="s">
        <v>7</v>
      </c>
      <c r="C37" s="68">
        <v>25.4</v>
      </c>
    </row>
    <row r="38" spans="1:6" ht="15" x14ac:dyDescent="0.25">
      <c r="A38" s="38" t="s">
        <v>58</v>
      </c>
      <c r="B38" t="s">
        <v>8</v>
      </c>
      <c r="C38" s="52">
        <v>66.37</v>
      </c>
    </row>
    <row r="39" spans="1:6" ht="15" x14ac:dyDescent="0.25">
      <c r="A39" t="s">
        <v>82</v>
      </c>
      <c r="B39" t="s">
        <v>84</v>
      </c>
      <c r="C39" s="54">
        <v>85.35</v>
      </c>
      <c r="D39" s="38" t="s">
        <v>98</v>
      </c>
    </row>
    <row r="40" spans="1:6" s="60" customFormat="1" ht="15" x14ac:dyDescent="0.25">
      <c r="A40" s="60" t="s">
        <v>83</v>
      </c>
      <c r="B40" s="60" t="s">
        <v>85</v>
      </c>
      <c r="C40" s="62">
        <v>20.399999999999999</v>
      </c>
      <c r="D40" s="60" t="s">
        <v>102</v>
      </c>
    </row>
    <row r="41" spans="1:6" ht="15" x14ac:dyDescent="0.25">
      <c r="A41" s="43" t="s">
        <v>80</v>
      </c>
      <c r="C41" s="67">
        <v>6.3E-2</v>
      </c>
      <c r="D41" t="s">
        <v>104</v>
      </c>
    </row>
    <row r="42" spans="1:6" ht="15" x14ac:dyDescent="0.25">
      <c r="A42" s="43" t="s">
        <v>81</v>
      </c>
      <c r="C42" s="69">
        <v>1.1719999999999999</v>
      </c>
      <c r="D42" s="38" t="s">
        <v>109</v>
      </c>
    </row>
  </sheetData>
  <mergeCells count="1">
    <mergeCell ref="A4:B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3"/>
  <sheetViews>
    <sheetView tabSelected="1" topLeftCell="A7" workbookViewId="0">
      <selection activeCell="E20" sqref="E20"/>
    </sheetView>
  </sheetViews>
  <sheetFormatPr baseColWidth="10" defaultColWidth="12.625" defaultRowHeight="15" customHeight="1" x14ac:dyDescent="0.2"/>
  <cols>
    <col min="1" max="1" width="28.125" customWidth="1"/>
    <col min="2" max="2" width="30.5" customWidth="1"/>
    <col min="3" max="3" width="28.625" customWidth="1"/>
    <col min="4" max="4" width="23.125" customWidth="1"/>
    <col min="5" max="5" width="20.5" customWidth="1"/>
    <col min="6" max="6" width="0.125" customWidth="1"/>
    <col min="7" max="7" width="22.125" customWidth="1"/>
    <col min="8" max="8" width="0.125" customWidth="1"/>
    <col min="9" max="27" width="9.375" customWidth="1"/>
  </cols>
  <sheetData>
    <row r="1" spans="1:13" x14ac:dyDescent="0.25">
      <c r="C1" s="1"/>
      <c r="D1" s="1"/>
    </row>
    <row r="2" spans="1:13" x14ac:dyDescent="0.25">
      <c r="A2" s="2" t="s">
        <v>75</v>
      </c>
      <c r="B2" s="2" t="s">
        <v>0</v>
      </c>
      <c r="C2" s="46">
        <f>+Datos!C2</f>
        <v>44927</v>
      </c>
      <c r="D2" s="42">
        <f>+Datos!D2</f>
        <v>44958</v>
      </c>
    </row>
    <row r="3" spans="1:13" x14ac:dyDescent="0.25">
      <c r="A3" s="2" t="s">
        <v>56</v>
      </c>
      <c r="B3" s="2"/>
      <c r="C3" s="3">
        <f>+Datos!C4</f>
        <v>120.67774199444446</v>
      </c>
      <c r="D3" s="55">
        <f>D4+D5</f>
        <v>133.98111576388888</v>
      </c>
      <c r="E3" s="13" t="s">
        <v>100</v>
      </c>
      <c r="L3" s="4"/>
      <c r="M3" s="5"/>
    </row>
    <row r="4" spans="1:13" x14ac:dyDescent="0.25">
      <c r="A4" s="6"/>
      <c r="B4" s="7" t="s">
        <v>1</v>
      </c>
      <c r="C4" s="8">
        <f>+Datos!C5</f>
        <v>54</v>
      </c>
      <c r="D4" s="56">
        <f>Insumos!J20</f>
        <v>56.7</v>
      </c>
      <c r="E4" s="13"/>
      <c r="L4" s="4"/>
      <c r="M4" s="5"/>
    </row>
    <row r="5" spans="1:13" x14ac:dyDescent="0.25">
      <c r="A5" s="7"/>
      <c r="B5" s="7" t="s">
        <v>2</v>
      </c>
      <c r="C5" s="8">
        <f>+Datos!C6</f>
        <v>66.67774199444446</v>
      </c>
      <c r="D5" s="57">
        <f>+Insumos!J19</f>
        <v>77.281115763888877</v>
      </c>
      <c r="E5" s="13"/>
      <c r="L5" s="4"/>
      <c r="M5" s="5"/>
    </row>
    <row r="6" spans="1:13" x14ac:dyDescent="0.25">
      <c r="A6" s="2" t="s">
        <v>3</v>
      </c>
      <c r="B6" s="2"/>
      <c r="C6" s="9">
        <f>+Datos!C7</f>
        <v>174.86516836734694</v>
      </c>
      <c r="D6" s="55">
        <f>D7+D8+D9+D10+D11+D12</f>
        <v>176.76541581632654</v>
      </c>
      <c r="E6" s="13"/>
      <c r="L6" s="4"/>
      <c r="M6" s="5"/>
    </row>
    <row r="7" spans="1:13" x14ac:dyDescent="0.25">
      <c r="A7" s="7" t="s">
        <v>86</v>
      </c>
      <c r="B7" s="7" t="s">
        <v>4</v>
      </c>
      <c r="C7" s="10">
        <f>+Datos!C8</f>
        <v>1.35</v>
      </c>
      <c r="D7" s="56">
        <f>+Datos!C30</f>
        <v>1.35</v>
      </c>
      <c r="E7" s="13"/>
      <c r="L7" s="4"/>
      <c r="M7" s="5"/>
    </row>
    <row r="8" spans="1:13" x14ac:dyDescent="0.25">
      <c r="A8" s="7"/>
      <c r="B8" s="7" t="s">
        <v>5</v>
      </c>
      <c r="C8" s="10">
        <f>+Datos!C9</f>
        <v>5.1951683673469393</v>
      </c>
      <c r="D8" s="56">
        <f>+Datos!C35</f>
        <v>2.3154158163265306</v>
      </c>
      <c r="E8" s="13"/>
      <c r="L8" s="4"/>
      <c r="M8" s="5"/>
    </row>
    <row r="9" spans="1:13" x14ac:dyDescent="0.25">
      <c r="A9" s="7" t="s">
        <v>71</v>
      </c>
      <c r="B9" s="7" t="s">
        <v>6</v>
      </c>
      <c r="C9" s="10">
        <f>+Datos!C10</f>
        <v>55.9</v>
      </c>
      <c r="D9" s="56">
        <f>+Datos!C36</f>
        <v>60.08</v>
      </c>
      <c r="E9" s="38"/>
      <c r="L9" s="4"/>
      <c r="M9" s="5"/>
    </row>
    <row r="10" spans="1:13" x14ac:dyDescent="0.25">
      <c r="A10" s="7" t="s">
        <v>60</v>
      </c>
      <c r="B10" s="7" t="s">
        <v>7</v>
      </c>
      <c r="C10" s="10">
        <f>+Datos!C11</f>
        <v>24.8</v>
      </c>
      <c r="D10" s="56">
        <f>+Datos!C37</f>
        <v>25.4</v>
      </c>
      <c r="E10" s="38"/>
      <c r="L10" s="4"/>
      <c r="M10" s="5"/>
    </row>
    <row r="11" spans="1:13" x14ac:dyDescent="0.25">
      <c r="A11" s="7" t="s">
        <v>58</v>
      </c>
      <c r="B11" s="7" t="s">
        <v>8</v>
      </c>
      <c r="C11" s="10">
        <f>+Datos!C12</f>
        <v>66.37</v>
      </c>
      <c r="D11" s="56">
        <f>+Datos!C38</f>
        <v>66.37</v>
      </c>
      <c r="E11" s="38"/>
      <c r="L11" s="4"/>
      <c r="M11" s="5"/>
    </row>
    <row r="12" spans="1:13" x14ac:dyDescent="0.25">
      <c r="A12" s="7" t="s">
        <v>59</v>
      </c>
      <c r="B12" s="7" t="s">
        <v>9</v>
      </c>
      <c r="C12" s="10">
        <f>+Datos!C13</f>
        <v>21.25</v>
      </c>
      <c r="D12" s="56">
        <f>+C12</f>
        <v>21.25</v>
      </c>
      <c r="E12" s="38"/>
      <c r="G12" s="53"/>
      <c r="L12" s="4"/>
      <c r="M12" s="5"/>
    </row>
    <row r="13" spans="1:13" s="43" customFormat="1" x14ac:dyDescent="0.25">
      <c r="A13" s="2" t="s">
        <v>74</v>
      </c>
      <c r="B13" s="2">
        <v>0.2</v>
      </c>
      <c r="C13" s="3">
        <f>+Datos!C14</f>
        <v>59.108582072358288</v>
      </c>
      <c r="D13" s="55">
        <f>+(D3+D6)*$B$13</f>
        <v>62.149306316043095</v>
      </c>
      <c r="G13" s="50"/>
      <c r="L13" s="41"/>
      <c r="M13" s="44"/>
    </row>
    <row r="14" spans="1:13" x14ac:dyDescent="0.25">
      <c r="A14" s="2" t="s">
        <v>10</v>
      </c>
      <c r="B14" s="11"/>
      <c r="C14" s="12">
        <f>+Datos!C15</f>
        <v>111.65593091936694</v>
      </c>
      <c r="D14" s="58">
        <f>D15+D16</f>
        <v>125.29486584328706</v>
      </c>
      <c r="L14" s="4"/>
      <c r="M14" s="5"/>
    </row>
    <row r="15" spans="1:13" x14ac:dyDescent="0.25">
      <c r="A15" s="7"/>
      <c r="B15" s="7" t="s">
        <v>11</v>
      </c>
      <c r="C15" s="8">
        <f>+Datos!C16</f>
        <v>51.06316691936695</v>
      </c>
      <c r="D15" s="56">
        <f>C15*(1+Datos!C41)</f>
        <v>54.280146435287065</v>
      </c>
      <c r="E15" s="13" t="s">
        <v>110</v>
      </c>
      <c r="G15" s="49"/>
      <c r="L15" s="4"/>
      <c r="M15" s="5"/>
    </row>
    <row r="16" spans="1:13" x14ac:dyDescent="0.25">
      <c r="A16" s="7"/>
      <c r="B16" s="7" t="s">
        <v>12</v>
      </c>
      <c r="C16" s="8">
        <f>+Datos!C17</f>
        <v>60.592763999999995</v>
      </c>
      <c r="D16" s="56">
        <f>+C16*Datos!C42</f>
        <v>71.014719407999991</v>
      </c>
      <c r="E16" s="13" t="s">
        <v>106</v>
      </c>
      <c r="G16" s="49"/>
      <c r="L16" s="4"/>
      <c r="M16" s="5"/>
    </row>
    <row r="17" spans="1:13" x14ac:dyDescent="0.25">
      <c r="A17" s="2"/>
      <c r="B17" s="2" t="s">
        <v>13</v>
      </c>
      <c r="C17" s="3">
        <f>+C3+C6+C13+C14</f>
        <v>466.30742335351664</v>
      </c>
      <c r="D17" s="55">
        <f>+D3+D6+D13+D14</f>
        <v>498.1907037395456</v>
      </c>
      <c r="L17" s="4"/>
      <c r="M17" s="5"/>
    </row>
    <row r="18" spans="1:13" x14ac:dyDescent="0.25">
      <c r="A18" s="40"/>
      <c r="B18" s="40"/>
      <c r="C18" s="41"/>
      <c r="D18" s="41"/>
      <c r="L18" s="4"/>
      <c r="M18" s="5"/>
    </row>
    <row r="19" spans="1:13" x14ac:dyDescent="0.25">
      <c r="A19" s="40"/>
      <c r="B19" s="40"/>
      <c r="C19" s="41"/>
      <c r="D19" s="41"/>
      <c r="L19" s="4"/>
      <c r="M19" s="5"/>
    </row>
    <row r="20" spans="1:13" x14ac:dyDescent="0.25">
      <c r="A20" s="40"/>
      <c r="B20" s="40"/>
      <c r="C20" s="41" t="s">
        <v>73</v>
      </c>
      <c r="D20" s="41">
        <f>+D17*4</f>
        <v>1992.7628149581824</v>
      </c>
      <c r="E20">
        <f>+D20/4</f>
        <v>498.1907037395456</v>
      </c>
      <c r="L20" s="4"/>
      <c r="M20" s="5"/>
    </row>
    <row r="21" spans="1:13" x14ac:dyDescent="0.25">
      <c r="D21" s="39"/>
    </row>
    <row r="22" spans="1:13" ht="15" customHeight="1" x14ac:dyDescent="0.25">
      <c r="A22" s="74" t="s">
        <v>14</v>
      </c>
      <c r="B22" s="73"/>
      <c r="C22" s="73"/>
      <c r="D22" s="63"/>
      <c r="E22" s="14"/>
      <c r="F22" s="14"/>
      <c r="G22" s="14"/>
    </row>
    <row r="23" spans="1:13" ht="15" customHeight="1" x14ac:dyDescent="0.25">
      <c r="A23" s="72" t="s">
        <v>15</v>
      </c>
      <c r="B23" s="73"/>
      <c r="C23" s="73"/>
      <c r="D23" s="15"/>
      <c r="E23" s="15"/>
      <c r="F23" s="15"/>
      <c r="G23" s="15"/>
    </row>
    <row r="24" spans="1:13" ht="15" customHeight="1" x14ac:dyDescent="0.25">
      <c r="A24" s="72" t="s">
        <v>16</v>
      </c>
      <c r="B24" s="73"/>
      <c r="C24" s="73"/>
      <c r="D24" s="15"/>
      <c r="E24" s="15"/>
      <c r="F24" s="15"/>
      <c r="G24" s="15"/>
    </row>
    <row r="25" spans="1:13" ht="30.75" customHeight="1" x14ac:dyDescent="0.25">
      <c r="A25" s="72" t="s">
        <v>17</v>
      </c>
      <c r="B25" s="73"/>
      <c r="C25" s="73"/>
      <c r="D25" s="15"/>
      <c r="E25" s="15"/>
      <c r="F25" s="15"/>
      <c r="G25" s="15"/>
    </row>
    <row r="26" spans="1:13" ht="15" customHeight="1" x14ac:dyDescent="0.25">
      <c r="A26" s="72" t="s">
        <v>18</v>
      </c>
      <c r="B26" s="73"/>
      <c r="C26" s="73"/>
      <c r="D26" s="15"/>
      <c r="E26" s="15"/>
      <c r="F26" s="15"/>
      <c r="G26" s="15"/>
    </row>
    <row r="27" spans="1:13" ht="15" customHeight="1" x14ac:dyDescent="0.25">
      <c r="A27" s="72" t="s">
        <v>19</v>
      </c>
      <c r="B27" s="73"/>
      <c r="C27" s="73"/>
      <c r="D27" s="15"/>
      <c r="E27" s="15"/>
      <c r="F27" s="15"/>
      <c r="G27" s="15"/>
    </row>
    <row r="28" spans="1:13" ht="15" customHeight="1" x14ac:dyDescent="0.25">
      <c r="A28" s="72" t="s">
        <v>20</v>
      </c>
      <c r="B28" s="73"/>
      <c r="C28" s="73"/>
      <c r="D28" s="15"/>
      <c r="E28" s="15"/>
      <c r="F28" s="15"/>
      <c r="G28" s="15"/>
    </row>
    <row r="29" spans="1:13" ht="15" customHeight="1" x14ac:dyDescent="0.25">
      <c r="A29" s="72" t="s">
        <v>21</v>
      </c>
      <c r="B29" s="73"/>
      <c r="C29" s="73"/>
      <c r="D29" s="15"/>
      <c r="E29" s="15"/>
      <c r="F29" s="15"/>
      <c r="G29" s="15"/>
    </row>
    <row r="30" spans="1:13" ht="16.5" customHeight="1" x14ac:dyDescent="0.25">
      <c r="A30" s="72" t="s">
        <v>22</v>
      </c>
      <c r="B30" s="73"/>
      <c r="C30" s="73"/>
      <c r="D30" s="15"/>
      <c r="E30" s="15"/>
      <c r="F30" s="15"/>
      <c r="G30" s="15"/>
    </row>
    <row r="31" spans="1:13" ht="15.75" customHeight="1" x14ac:dyDescent="0.25">
      <c r="A31" s="16"/>
      <c r="B31" s="16"/>
      <c r="C31" s="16"/>
      <c r="D31" s="16"/>
      <c r="E31" s="16"/>
      <c r="F31" s="16"/>
      <c r="G31" s="16"/>
    </row>
    <row r="32" spans="1:13" ht="15.75" customHeight="1" x14ac:dyDescent="0.25">
      <c r="A32" s="1"/>
      <c r="B32" s="1"/>
    </row>
    <row r="33" spans="1:3" ht="15.75" customHeight="1" x14ac:dyDescent="0.25">
      <c r="A33" s="7" t="s">
        <v>23</v>
      </c>
      <c r="B33" s="7"/>
    </row>
    <row r="34" spans="1:3" ht="15.75" customHeight="1" x14ac:dyDescent="0.25">
      <c r="A34" s="7" t="s">
        <v>24</v>
      </c>
      <c r="B34" s="2" t="s">
        <v>72</v>
      </c>
    </row>
    <row r="35" spans="1:3" ht="15.75" customHeight="1" x14ac:dyDescent="0.25">
      <c r="A35" s="7" t="s">
        <v>25</v>
      </c>
      <c r="B35" s="7" t="s">
        <v>26</v>
      </c>
    </row>
    <row r="36" spans="1:3" ht="15.75" customHeight="1" x14ac:dyDescent="0.25">
      <c r="A36" s="7" t="s">
        <v>12</v>
      </c>
      <c r="B36" s="7" t="s">
        <v>27</v>
      </c>
      <c r="C36" t="s">
        <v>57</v>
      </c>
    </row>
    <row r="37" spans="1:3" ht="15.75" customHeight="1" x14ac:dyDescent="0.2"/>
    <row r="38" spans="1:3" ht="15.75" customHeight="1" x14ac:dyDescent="0.2"/>
    <row r="39" spans="1:3" ht="15.75" customHeight="1" x14ac:dyDescent="0.2"/>
    <row r="40" spans="1:3" ht="15.75" customHeight="1" x14ac:dyDescent="0.2"/>
    <row r="41" spans="1:3" ht="15.75" customHeight="1" x14ac:dyDescent="0.2"/>
    <row r="42" spans="1:3" ht="15.75" customHeight="1" x14ac:dyDescent="0.2"/>
    <row r="43" spans="1:3" ht="15.75" customHeight="1" x14ac:dyDescent="0.2"/>
    <row r="44" spans="1:3" ht="15.75" customHeight="1" x14ac:dyDescent="0.2"/>
    <row r="45" spans="1:3" ht="15.75" customHeight="1" x14ac:dyDescent="0.2"/>
    <row r="46" spans="1:3" ht="15.75" customHeight="1" x14ac:dyDescent="0.2"/>
    <row r="47" spans="1:3" ht="15.75" customHeight="1" x14ac:dyDescent="0.2"/>
    <row r="48" spans="1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9">
    <mergeCell ref="A29:C29"/>
    <mergeCell ref="A30:C30"/>
    <mergeCell ref="A22:C22"/>
    <mergeCell ref="A23:C23"/>
    <mergeCell ref="A24:C24"/>
    <mergeCell ref="A25:C25"/>
    <mergeCell ref="A26:C26"/>
    <mergeCell ref="A27:C27"/>
    <mergeCell ref="A28:C28"/>
  </mergeCells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3"/>
  <sheetViews>
    <sheetView topLeftCell="A6" workbookViewId="0">
      <selection activeCell="G18" sqref="G18"/>
    </sheetView>
  </sheetViews>
  <sheetFormatPr baseColWidth="10" defaultColWidth="12.625" defaultRowHeight="15" customHeight="1" x14ac:dyDescent="0.2"/>
  <cols>
    <col min="1" max="1" width="23.125" customWidth="1"/>
    <col min="2" max="2" width="22.375" customWidth="1"/>
    <col min="3" max="4" width="9.375" customWidth="1"/>
    <col min="5" max="5" width="25.625" customWidth="1"/>
    <col min="6" max="6" width="15.5" customWidth="1"/>
    <col min="7" max="7" width="14.625" customWidth="1"/>
    <col min="8" max="8" width="15.625" bestFit="1" customWidth="1"/>
    <col min="9" max="9" width="16.375" customWidth="1"/>
    <col min="10" max="10" width="11.625" customWidth="1"/>
    <col min="11" max="26" width="9.375" customWidth="1"/>
  </cols>
  <sheetData>
    <row r="1" spans="1:13" ht="30" x14ac:dyDescent="0.4">
      <c r="A1" s="17"/>
      <c r="B1" s="18" t="s">
        <v>28</v>
      </c>
      <c r="C1" s="19"/>
    </row>
    <row r="2" spans="1:13" ht="14.25" x14ac:dyDescent="0.2">
      <c r="A2" s="19"/>
    </row>
    <row r="3" spans="1:13" ht="43.5" x14ac:dyDescent="0.3">
      <c r="A3" s="20" t="s">
        <v>29</v>
      </c>
      <c r="B3" s="21">
        <v>540</v>
      </c>
      <c r="C3" s="19"/>
      <c r="D3" s="21"/>
      <c r="E3" s="19"/>
      <c r="F3" s="21"/>
      <c r="G3" s="22"/>
      <c r="H3" s="22"/>
      <c r="I3" s="19"/>
    </row>
    <row r="4" spans="1:13" ht="14.25" x14ac:dyDescent="0.2">
      <c r="A4" s="19"/>
    </row>
    <row r="5" spans="1:13" ht="14.25" x14ac:dyDescent="0.2">
      <c r="A5" s="23" t="s">
        <v>30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</row>
    <row r="6" spans="1:13" ht="30" x14ac:dyDescent="0.4">
      <c r="A6" s="23" t="s">
        <v>31</v>
      </c>
      <c r="B6" s="24" t="s">
        <v>32</v>
      </c>
      <c r="C6" s="18" t="s">
        <v>33</v>
      </c>
      <c r="D6" s="19"/>
      <c r="E6" s="25"/>
      <c r="F6" s="19"/>
      <c r="G6" s="26" t="s">
        <v>34</v>
      </c>
      <c r="H6" s="27">
        <v>900</v>
      </c>
      <c r="I6" s="28" t="s">
        <v>35</v>
      </c>
      <c r="J6" s="19"/>
      <c r="K6" s="19"/>
    </row>
    <row r="7" spans="1:13" ht="14.25" x14ac:dyDescent="0.2">
      <c r="A7" s="23"/>
      <c r="B7" s="19"/>
      <c r="C7" s="19"/>
      <c r="D7" s="19"/>
      <c r="E7" s="19"/>
      <c r="F7" s="19"/>
    </row>
    <row r="8" spans="1:13" ht="30" x14ac:dyDescent="0.4">
      <c r="A8" s="23"/>
      <c r="B8" s="29"/>
      <c r="C8" s="29"/>
      <c r="D8" s="29"/>
      <c r="E8" s="19"/>
      <c r="F8" s="19"/>
      <c r="G8" s="75">
        <v>44738</v>
      </c>
      <c r="H8" s="76"/>
      <c r="I8" s="76"/>
      <c r="J8" s="77"/>
      <c r="K8" s="19"/>
      <c r="L8" s="19"/>
      <c r="M8" s="19"/>
    </row>
    <row r="9" spans="1:13" ht="18" x14ac:dyDescent="0.25">
      <c r="A9" s="23" t="s">
        <v>36</v>
      </c>
      <c r="B9" s="19"/>
      <c r="C9" s="19"/>
      <c r="D9" s="19"/>
      <c r="E9" s="30" t="s">
        <v>37</v>
      </c>
      <c r="F9" s="30" t="s">
        <v>38</v>
      </c>
      <c r="G9" s="27" t="s">
        <v>39</v>
      </c>
      <c r="H9" s="27" t="s">
        <v>40</v>
      </c>
      <c r="I9" s="27" t="s">
        <v>41</v>
      </c>
      <c r="J9" s="27" t="s">
        <v>42</v>
      </c>
    </row>
    <row r="10" spans="1:13" x14ac:dyDescent="0.2">
      <c r="A10" s="23"/>
      <c r="B10" s="19"/>
      <c r="C10" s="19"/>
      <c r="D10" s="19" t="s">
        <v>61</v>
      </c>
      <c r="E10" s="31" t="s">
        <v>43</v>
      </c>
      <c r="F10" s="31">
        <f t="shared" ref="F10:F11" si="0">19282.5/2</f>
        <v>9641.25</v>
      </c>
      <c r="G10" s="32">
        <f>+Datos!C20</f>
        <v>4860</v>
      </c>
      <c r="H10" s="32">
        <f t="shared" ref="H10:H18" si="1">G10*F10/1000</f>
        <v>46856.474999999999</v>
      </c>
      <c r="I10" s="32">
        <f t="shared" ref="I10:I18" si="2">+H10/$H$6</f>
        <v>52.062750000000001</v>
      </c>
      <c r="J10" s="32">
        <f t="shared" ref="J10:J18" si="3">I10/2</f>
        <v>26.031375000000001</v>
      </c>
    </row>
    <row r="11" spans="1:13" ht="15.75" x14ac:dyDescent="0.25">
      <c r="A11" s="23"/>
      <c r="B11" s="19"/>
      <c r="C11" s="19"/>
      <c r="D11" s="19" t="s">
        <v>62</v>
      </c>
      <c r="E11" s="70" t="s">
        <v>107</v>
      </c>
      <c r="F11" s="31">
        <f t="shared" si="0"/>
        <v>9641.25</v>
      </c>
      <c r="G11" s="32">
        <f>+Datos!C21</f>
        <v>8632.11</v>
      </c>
      <c r="H11" s="32">
        <f t="shared" si="1"/>
        <v>83224.330537500005</v>
      </c>
      <c r="I11" s="32">
        <f t="shared" si="2"/>
        <v>92.471478375000004</v>
      </c>
      <c r="J11" s="32">
        <f t="shared" si="3"/>
        <v>46.235739187500002</v>
      </c>
    </row>
    <row r="12" spans="1:13" x14ac:dyDescent="0.2">
      <c r="A12" s="23"/>
      <c r="B12" s="19"/>
      <c r="C12" s="19"/>
      <c r="D12" s="19" t="s">
        <v>63</v>
      </c>
      <c r="E12" s="31" t="s">
        <v>44</v>
      </c>
      <c r="F12" s="31">
        <v>3857.5</v>
      </c>
      <c r="G12" s="32">
        <f>+Datos!C22</f>
        <v>373</v>
      </c>
      <c r="H12" s="32">
        <f t="shared" si="1"/>
        <v>1438.8475000000001</v>
      </c>
      <c r="I12" s="32">
        <f t="shared" si="2"/>
        <v>1.5987194444444446</v>
      </c>
      <c r="J12" s="32">
        <f t="shared" si="3"/>
        <v>0.79935972222222229</v>
      </c>
    </row>
    <row r="13" spans="1:13" x14ac:dyDescent="0.2">
      <c r="A13" s="23"/>
      <c r="B13" s="19"/>
      <c r="C13" s="19"/>
      <c r="D13" s="19" t="s">
        <v>64</v>
      </c>
      <c r="E13" s="31" t="s">
        <v>45</v>
      </c>
      <c r="F13" s="31">
        <v>61.5</v>
      </c>
      <c r="G13" s="32">
        <f>+Datos!C23</f>
        <v>18200</v>
      </c>
      <c r="H13" s="32">
        <f t="shared" si="1"/>
        <v>1119.3</v>
      </c>
      <c r="I13" s="32">
        <f t="shared" si="2"/>
        <v>1.2436666666666667</v>
      </c>
      <c r="J13" s="32">
        <f t="shared" si="3"/>
        <v>0.62183333333333335</v>
      </c>
    </row>
    <row r="14" spans="1:13" x14ac:dyDescent="0.2">
      <c r="A14" s="23"/>
      <c r="B14" s="19"/>
      <c r="C14" s="19"/>
      <c r="D14" s="19" t="s">
        <v>65</v>
      </c>
      <c r="E14" s="31" t="s">
        <v>46</v>
      </c>
      <c r="F14" s="31">
        <v>41.25</v>
      </c>
      <c r="G14" s="32">
        <f>+Datos!C24</f>
        <v>3404</v>
      </c>
      <c r="H14" s="32">
        <f t="shared" si="1"/>
        <v>140.41499999999999</v>
      </c>
      <c r="I14" s="32">
        <f t="shared" si="2"/>
        <v>0.15601666666666666</v>
      </c>
      <c r="J14" s="32">
        <f t="shared" si="3"/>
        <v>7.8008333333333332E-2</v>
      </c>
    </row>
    <row r="15" spans="1:13" x14ac:dyDescent="0.2">
      <c r="A15" s="23"/>
      <c r="B15" s="19"/>
      <c r="C15" s="19"/>
      <c r="D15" s="19" t="s">
        <v>66</v>
      </c>
      <c r="E15" s="31" t="s">
        <v>47</v>
      </c>
      <c r="F15" s="31">
        <v>900</v>
      </c>
      <c r="G15" s="32">
        <f>+Datos!C25</f>
        <v>794.14</v>
      </c>
      <c r="H15" s="32">
        <f t="shared" si="1"/>
        <v>714.726</v>
      </c>
      <c r="I15" s="32">
        <f t="shared" si="2"/>
        <v>0.79413999999999996</v>
      </c>
      <c r="J15" s="32">
        <f t="shared" si="3"/>
        <v>0.39706999999999998</v>
      </c>
    </row>
    <row r="16" spans="1:13" x14ac:dyDescent="0.2">
      <c r="A16" s="23"/>
      <c r="B16" s="19"/>
      <c r="C16" s="19"/>
      <c r="D16" s="19" t="s">
        <v>67</v>
      </c>
      <c r="E16" s="31" t="s">
        <v>48</v>
      </c>
      <c r="F16" s="31">
        <v>514.25</v>
      </c>
      <c r="G16" s="32">
        <f>+Datos!C26</f>
        <v>8892.75</v>
      </c>
      <c r="H16" s="32">
        <f t="shared" si="1"/>
        <v>4573.0966875000004</v>
      </c>
      <c r="I16" s="32">
        <f t="shared" si="2"/>
        <v>5.0812185416666669</v>
      </c>
      <c r="J16" s="32">
        <f t="shared" si="3"/>
        <v>2.5406092708333334</v>
      </c>
    </row>
    <row r="17" spans="1:13" x14ac:dyDescent="0.2">
      <c r="A17" s="23"/>
      <c r="B17" s="19"/>
      <c r="C17" s="19"/>
      <c r="D17" s="19" t="s">
        <v>68</v>
      </c>
      <c r="E17" s="31" t="s">
        <v>49</v>
      </c>
      <c r="F17" s="31">
        <v>52.06</v>
      </c>
      <c r="G17" s="32">
        <f>+Datos!C27*Datos!$C$19</f>
        <v>13552.5</v>
      </c>
      <c r="H17" s="32">
        <f t="shared" si="1"/>
        <v>705.54314999999997</v>
      </c>
      <c r="I17" s="32">
        <f t="shared" si="2"/>
        <v>0.7839368333333333</v>
      </c>
      <c r="J17" s="32">
        <f t="shared" si="3"/>
        <v>0.39196841666666665</v>
      </c>
    </row>
    <row r="18" spans="1:13" x14ac:dyDescent="0.2">
      <c r="A18" s="23"/>
      <c r="B18" s="19"/>
      <c r="C18" s="19"/>
      <c r="D18" s="19" t="s">
        <v>69</v>
      </c>
      <c r="E18" s="31" t="s">
        <v>50</v>
      </c>
      <c r="F18" s="31">
        <v>21.1</v>
      </c>
      <c r="G18" s="32">
        <f>+Datos!C28*Datos!$C$19</f>
        <v>15795</v>
      </c>
      <c r="H18" s="32">
        <f t="shared" si="1"/>
        <v>333.27449999999999</v>
      </c>
      <c r="I18" s="32">
        <f t="shared" si="2"/>
        <v>0.370305</v>
      </c>
      <c r="J18" s="32">
        <f t="shared" si="3"/>
        <v>0.1851525</v>
      </c>
    </row>
    <row r="19" spans="1:13" ht="15.75" x14ac:dyDescent="0.25">
      <c r="A19" s="23"/>
      <c r="B19" s="19"/>
      <c r="C19" s="19"/>
      <c r="D19" s="19"/>
      <c r="E19" s="33" t="s">
        <v>51</v>
      </c>
      <c r="F19" s="33">
        <f>SUM(F10:F18)</f>
        <v>24730.16</v>
      </c>
      <c r="G19" s="34"/>
      <c r="H19" s="34">
        <f t="shared" ref="H19:J19" si="4">SUM(H10:H18)</f>
        <v>139106.008375</v>
      </c>
      <c r="I19" s="34">
        <f t="shared" si="4"/>
        <v>154.56223152777775</v>
      </c>
      <c r="J19" s="34">
        <f t="shared" si="4"/>
        <v>77.281115763888877</v>
      </c>
    </row>
    <row r="20" spans="1:13" ht="18" x14ac:dyDescent="0.25">
      <c r="A20" s="23"/>
      <c r="B20" s="19"/>
      <c r="C20" s="35"/>
      <c r="D20" s="19" t="s">
        <v>70</v>
      </c>
      <c r="E20" s="33" t="s">
        <v>52</v>
      </c>
      <c r="F20" s="33">
        <v>540000</v>
      </c>
      <c r="G20" s="36">
        <f>+Datos!C29</f>
        <v>189</v>
      </c>
      <c r="H20" s="36">
        <f>G20*F20/1000</f>
        <v>102060</v>
      </c>
      <c r="I20" s="36">
        <f>+H20/$H$6</f>
        <v>113.4</v>
      </c>
      <c r="J20" s="36">
        <f>I20/2</f>
        <v>56.7</v>
      </c>
      <c r="K20" s="19"/>
      <c r="L20" s="37"/>
      <c r="M20" s="19"/>
    </row>
    <row r="21" spans="1:13" ht="18" x14ac:dyDescent="0.25">
      <c r="A21" s="23"/>
      <c r="B21" s="19"/>
      <c r="C21" s="35"/>
      <c r="D21" s="19"/>
      <c r="E21" s="19"/>
      <c r="F21" s="19"/>
      <c r="G21" s="19"/>
      <c r="H21" s="19"/>
      <c r="I21" s="19"/>
      <c r="J21" s="19"/>
      <c r="K21" s="19"/>
      <c r="L21" s="37"/>
      <c r="M21" s="19"/>
    </row>
    <row r="22" spans="1:13" ht="18" x14ac:dyDescent="0.25">
      <c r="A22" s="23"/>
      <c r="B22" s="19"/>
      <c r="C22" s="35" t="s">
        <v>53</v>
      </c>
      <c r="D22" s="19"/>
      <c r="E22" s="19"/>
      <c r="F22" s="19"/>
      <c r="G22" s="19"/>
      <c r="H22" s="19"/>
      <c r="I22" s="19"/>
      <c r="J22" s="19"/>
      <c r="K22" s="19"/>
      <c r="L22" s="37"/>
      <c r="M22" s="19"/>
    </row>
    <row r="23" spans="1:13" ht="90" customHeight="1" x14ac:dyDescent="0.2">
      <c r="A23" s="23" t="s">
        <v>54</v>
      </c>
      <c r="B23" s="19"/>
      <c r="C23" s="19"/>
      <c r="D23" s="78" t="s">
        <v>55</v>
      </c>
      <c r="E23" s="73"/>
      <c r="F23" s="73"/>
      <c r="G23" s="73"/>
      <c r="H23" s="73"/>
      <c r="I23" s="73"/>
      <c r="J23" s="73"/>
      <c r="K23" s="73"/>
      <c r="L23" s="19"/>
      <c r="M23" s="19"/>
    </row>
    <row r="24" spans="1:13" ht="15.75" customHeight="1" x14ac:dyDescent="0.2"/>
    <row r="25" spans="1:13" ht="15.75" customHeight="1" x14ac:dyDescent="0.2"/>
    <row r="26" spans="1:13" ht="15.75" customHeight="1" x14ac:dyDescent="0.2"/>
    <row r="27" spans="1:13" ht="15.75" customHeight="1" x14ac:dyDescent="0.2"/>
    <row r="28" spans="1:13" ht="15.75" customHeight="1" x14ac:dyDescent="0.2"/>
    <row r="29" spans="1:13" ht="15.75" customHeight="1" x14ac:dyDescent="0.2"/>
    <row r="30" spans="1:13" ht="15.75" customHeight="1" x14ac:dyDescent="0.2"/>
    <row r="31" spans="1:13" ht="15.75" customHeight="1" x14ac:dyDescent="0.2"/>
    <row r="32" spans="1:1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2">
    <mergeCell ref="G8:J8"/>
    <mergeCell ref="D23:K2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Costeo</vt:lpstr>
      <vt:lpstr>Insumos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SupplyDestileria</cp:lastModifiedBy>
  <dcterms:created xsi:type="dcterms:W3CDTF">2021-11-16T13:44:54Z</dcterms:created>
  <dcterms:modified xsi:type="dcterms:W3CDTF">2023-02-13T20:27:14Z</dcterms:modified>
</cp:coreProperties>
</file>