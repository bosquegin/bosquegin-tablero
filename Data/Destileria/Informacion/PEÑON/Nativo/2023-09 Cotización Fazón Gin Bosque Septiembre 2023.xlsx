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GIN BOSQUE\"/>
    </mc:Choice>
  </mc:AlternateContent>
  <xr:revisionPtr revIDLastSave="0" documentId="13_ncr:1_{45FC96A8-56BA-4FD6-8854-E2D0C9426D2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15" i="1" l="1"/>
  <c r="C14" i="1"/>
  <c r="C13" i="1"/>
  <c r="C6" i="1"/>
  <c r="C3" i="1"/>
  <c r="D2" i="1" l="1"/>
  <c r="D16" i="1"/>
  <c r="D12" i="1" l="1"/>
  <c r="C20" i="3"/>
  <c r="C6" i="3" l="1"/>
  <c r="G11" i="2"/>
  <c r="D14" i="1"/>
  <c r="D11" i="1" l="1"/>
  <c r="D10" i="1"/>
  <c r="D9" i="1"/>
  <c r="D7" i="1"/>
  <c r="D8" i="1"/>
  <c r="G20" i="2"/>
  <c r="H20" i="2" s="1"/>
  <c r="D6" i="1" l="1"/>
  <c r="H11" i="2"/>
  <c r="G10" i="2"/>
  <c r="H1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I20" i="2" l="1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D5" i="1" s="1"/>
  <c r="D3" i="1" s="1"/>
  <c r="I19" i="2"/>
  <c r="D13" i="1" l="1"/>
  <c r="D17" i="1" l="1"/>
  <c r="D20" i="1" l="1"/>
</calcChain>
</file>

<file path=xl/sharedStrings.xml><?xml version="1.0" encoding="utf-8"?>
<sst xmlns="http://schemas.openxmlformats.org/spreadsheetml/2006/main" count="158" uniqueCount="117">
  <si>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</si>
  <si>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</si>
  <si>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</si>
  <si>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</si>
  <si>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</si>
  <si>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</si>
  <si>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</si>
  <si>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</si>
  <si>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</si>
  <si>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</si>
  <si>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</si>
  <si>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</si>
  <si>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</si>
  <si>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</si>
  <si>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</si>
  <si>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</si>
  <si>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</si>
  <si>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</si>
  <si>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</si>
  <si>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</si>
  <si>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</si>
  <si>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</si>
  <si>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</si>
  <si>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</si>
  <si>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</si>
  <si>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</si>
  <si>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</si>
  <si>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</si>
  <si>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</si>
  <si>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</si>
  <si>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</si>
  <si>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</si>
  <si>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</si>
  <si>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</si>
  <si>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</si>
  <si>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</si>
  <si>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</si>
  <si>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</si>
  <si>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</si>
  <si>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</si>
  <si>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</si>
  <si>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</si>
  <si>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</si>
  <si>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</si>
  <si>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</si>
  <si>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</si>
  <si>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</si>
  <si>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</si>
  <si>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</si>
  <si>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</si>
  <si>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</si>
  <si>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</si>
  <si>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</si>
  <si>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</si>
  <si>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</si>
  <si>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</si>
  <si>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</si>
  <si>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</si>
  <si>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</si>
  <si>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</si>
  <si>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</si>
  <si>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</si>
  <si>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</si>
  <si>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</si>
  <si>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</si>
  <si>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</si>
  <si>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</si>
  <si>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</si>
  <si>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</si>
  <si>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</si>
  <si>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</si>
  <si>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</si>
  <si>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</si>
  <si>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</si>
  <si>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</si>
  <si>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</si>
  <si>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Nueva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</si>
  <si>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</si>
  <si>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</si>
  <si>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</si>
  <si>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</si>
  <si>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</si>
  <si>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</si>
  <si>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</si>
  <si>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</si>
  <si>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</si>
  <si>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</si>
  <si>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</si>
  <si>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</si>
  <si>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</si>
  <si>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</si>
  <si>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</si>
  <si>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</si>
  <si>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</si>
  <si>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</si>
  <si>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</si>
  <si>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</si>
  <si>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</si>
  <si>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</si>
  <si>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</si>
  <si>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*</t>
  </si>
  <si>
    <t>Enebro Albania</t>
  </si>
  <si>
    <t>GF002</t>
  </si>
  <si>
    <t>BNA</t>
  </si>
  <si>
    <t>Enebro Patagónico (Primera)</t>
  </si>
  <si>
    <t>Quilmes</t>
  </si>
  <si>
    <t>aumento 03-2023</t>
  </si>
  <si>
    <t>https://www.bna.com.ar/Personas</t>
  </si>
  <si>
    <t>* 25-07</t>
  </si>
  <si>
    <t>GARNIL</t>
  </si>
  <si>
    <t>MELAR</t>
  </si>
  <si>
    <t>PEÑON-TAPI</t>
  </si>
  <si>
    <t>Fasonado</t>
  </si>
  <si>
    <t>Servicios e Indirectos</t>
  </si>
  <si>
    <t>* Aumentos Abril 2023 y Julio 2023</t>
  </si>
  <si>
    <t>IGB014</t>
  </si>
  <si>
    <t>* revisar 09-2023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</si>
</sst>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&quot;$&quot;\ * #,##0.000_-;\-&quot;$&quot;\ * #,##0.000_-;_-&quot;$&quot;\ * &quot;-&quot;??_-;_-@_-"/>
    <numFmt numFmtId="169" formatCode="_-* #,##0.000_-;\-* #,##0.000_-;_-* &quot;-&quot;??_-;_-@_-"/>
  </numFmts>
  <fonts count="27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2"/>
      <color theme="4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43" fontId="0" fillId="0" borderId="0" xfId="1" applyFont="1" applyAlignment="1"/>
    <xf numFmtId="44" fontId="0" fillId="0" borderId="0" xfId="0" applyNumberFormat="1"/>
    <xf numFmtId="44" fontId="20" fillId="0" borderId="0" xfId="0" applyNumberFormat="1" applyFo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168" fontId="2" fillId="0" borderId="0" xfId="0" applyNumberFormat="1" applyFont="1" applyAlignment="1">
      <alignment horizontal="left" wrapText="1"/>
    </xf>
    <xf numFmtId="43" fontId="20" fillId="0" borderId="0" xfId="1" applyFont="1" applyFill="1" applyAlignment="1"/>
    <xf numFmtId="43" fontId="0" fillId="0" borderId="0" xfId="1" applyFont="1" applyFill="1" applyAlignment="1"/>
    <xf numFmtId="10" fontId="0" fillId="0" borderId="0" xfId="0" applyNumberFormat="1"/>
    <xf numFmtId="169" fontId="0" fillId="0" borderId="0" xfId="1" applyNumberFormat="1" applyFont="1" applyFill="1" applyAlignment="1"/>
    <xf numFmtId="0" fontId="24" fillId="0" borderId="1" xfId="0" applyFont="1" applyBorder="1"/>
    <xf numFmtId="0" fontId="13" fillId="0" borderId="0" xfId="0" applyFont="1"/>
    <xf numFmtId="0" fontId="13" fillId="2" borderId="1" xfId="0" applyFont="1" applyFill="1" applyBorder="1"/>
    <xf numFmtId="9" fontId="2" fillId="0" borderId="0" xfId="2" applyFont="1"/>
    <xf numFmtId="0" fontId="26" fillId="0" borderId="0" xfId="3"/>
    <xf numFmtId="0" fontId="23" fillId="0" borderId="0" xfId="0" applyFont="1"/>
    <xf numFmtId="43" fontId="0" fillId="0" borderId="0" xfId="0" applyNumberFormat="1"/>
    <xf numFmtId="43" fontId="19" fillId="0" borderId="0" xfId="1" applyFont="1" applyFill="1" applyAlignment="1"/>
    <xf numFmtId="43" fontId="15" fillId="0" borderId="0" xfId="1" applyFont="1" applyFill="1" applyAlignment="1"/>
    <xf numFmtId="14" fontId="0" fillId="0" borderId="0" xfId="0" applyNumberFormat="1"/>
    <xf numFmtId="9" fontId="0" fillId="3" borderId="0" xfId="2" applyFont="1" applyFill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na.com.ar/Persona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I30"/>
  <sheetViews>
    <sheetView topLeftCell="A10" workbookViewId="0">
      <selection activeCell="C15" sqref="C15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9" x14ac:dyDescent="0.2">
      <c r="C1" t="s">
        <v>76</v>
      </c>
    </row>
    <row r="2" spans="1:9" ht="15" x14ac:dyDescent="0.25">
      <c r="A2" s="38" t="s">
        <v>75</v>
      </c>
      <c r="C2" s="65">
        <v>45180</v>
      </c>
      <c r="D2" s="65"/>
    </row>
    <row r="4" spans="1:9" ht="15" x14ac:dyDescent="0.25">
      <c r="A4" s="38" t="s">
        <v>77</v>
      </c>
      <c r="B4" s="48">
        <v>45180</v>
      </c>
      <c r="C4" s="52">
        <v>365.5</v>
      </c>
      <c r="D4" s="38" t="s">
        <v>103</v>
      </c>
      <c r="E4" s="60" t="s">
        <v>107</v>
      </c>
      <c r="I4" s="61"/>
    </row>
    <row r="5" spans="1:9" x14ac:dyDescent="0.2">
      <c r="A5" t="s">
        <v>61</v>
      </c>
      <c r="B5" s="33" t="s">
        <v>104</v>
      </c>
      <c r="C5" s="63">
        <v>8931.92</v>
      </c>
      <c r="D5" s="50" t="s">
        <v>105</v>
      </c>
      <c r="E5" s="61"/>
    </row>
    <row r="6" spans="1:9" x14ac:dyDescent="0.2">
      <c r="A6" s="33" t="s">
        <v>115</v>
      </c>
      <c r="B6" s="33" t="s">
        <v>101</v>
      </c>
      <c r="C6" s="63">
        <f>44.5*1.06</f>
        <v>47.17</v>
      </c>
      <c r="D6" s="40"/>
      <c r="E6" s="49" t="s">
        <v>109</v>
      </c>
      <c r="F6" s="49" t="s">
        <v>108</v>
      </c>
    </row>
    <row r="7" spans="1:9" x14ac:dyDescent="0.2">
      <c r="A7" t="s">
        <v>63</v>
      </c>
      <c r="B7" t="s">
        <v>44</v>
      </c>
      <c r="C7" s="63">
        <v>685.21</v>
      </c>
      <c r="D7" s="40"/>
      <c r="E7" s="49" t="s">
        <v>110</v>
      </c>
      <c r="F7" s="49" t="s">
        <v>108</v>
      </c>
    </row>
    <row r="8" spans="1:9" x14ac:dyDescent="0.2">
      <c r="A8" t="s">
        <v>64</v>
      </c>
      <c r="B8" t="s">
        <v>45</v>
      </c>
      <c r="C8" s="63">
        <v>23628</v>
      </c>
      <c r="D8" s="40"/>
      <c r="E8" s="49" t="s">
        <v>110</v>
      </c>
      <c r="F8" s="49" t="s">
        <v>108</v>
      </c>
    </row>
    <row r="9" spans="1:9" x14ac:dyDescent="0.2">
      <c r="A9" t="s">
        <v>65</v>
      </c>
      <c r="B9" t="s">
        <v>46</v>
      </c>
      <c r="C9" s="63">
        <v>13740</v>
      </c>
      <c r="D9" s="40"/>
      <c r="E9" s="49" t="s">
        <v>110</v>
      </c>
      <c r="F9" s="49" t="s">
        <v>108</v>
      </c>
    </row>
    <row r="10" spans="1:9" x14ac:dyDescent="0.2">
      <c r="A10" t="s">
        <v>66</v>
      </c>
      <c r="B10" t="s">
        <v>47</v>
      </c>
      <c r="C10" s="63">
        <v>2436</v>
      </c>
      <c r="D10" s="40"/>
      <c r="E10" s="49" t="s">
        <v>110</v>
      </c>
      <c r="F10" s="49" t="s">
        <v>108</v>
      </c>
    </row>
    <row r="11" spans="1:9" x14ac:dyDescent="0.2">
      <c r="A11" t="s">
        <v>67</v>
      </c>
      <c r="B11" t="s">
        <v>48</v>
      </c>
      <c r="C11" s="63">
        <v>16404.03</v>
      </c>
      <c r="D11" s="50" t="s">
        <v>105</v>
      </c>
      <c r="E11" s="61"/>
    </row>
    <row r="12" spans="1:9" x14ac:dyDescent="0.2">
      <c r="A12" t="s">
        <v>68</v>
      </c>
      <c r="B12" t="s">
        <v>49</v>
      </c>
      <c r="C12" s="63">
        <v>69.5</v>
      </c>
      <c r="D12" s="40"/>
    </row>
    <row r="13" spans="1:9" x14ac:dyDescent="0.2">
      <c r="A13" t="s">
        <v>69</v>
      </c>
      <c r="B13" t="s">
        <v>50</v>
      </c>
      <c r="C13" s="63">
        <v>81</v>
      </c>
      <c r="D13" s="40"/>
    </row>
    <row r="14" spans="1:9" x14ac:dyDescent="0.2">
      <c r="A14" t="s">
        <v>70</v>
      </c>
      <c r="B14" t="s">
        <v>52</v>
      </c>
      <c r="C14" s="63">
        <v>336</v>
      </c>
      <c r="D14" s="50"/>
      <c r="E14" s="33" t="s">
        <v>116</v>
      </c>
    </row>
    <row r="15" spans="1:9" x14ac:dyDescent="0.2">
      <c r="A15" t="s">
        <v>84</v>
      </c>
      <c r="B15" t="s">
        <v>4</v>
      </c>
      <c r="C15" s="63">
        <v>2.4</v>
      </c>
    </row>
    <row r="16" spans="1:9" x14ac:dyDescent="0.2">
      <c r="A16" s="33" t="s">
        <v>93</v>
      </c>
      <c r="B16" t="s">
        <v>85</v>
      </c>
      <c r="C16" s="53">
        <v>1600</v>
      </c>
      <c r="D16" s="33" t="s">
        <v>92</v>
      </c>
    </row>
    <row r="17" spans="1:7" x14ac:dyDescent="0.2">
      <c r="A17" s="33" t="s">
        <v>88</v>
      </c>
      <c r="B17" t="s">
        <v>86</v>
      </c>
      <c r="C17" s="53">
        <v>230</v>
      </c>
      <c r="D17" s="33" t="s">
        <v>90</v>
      </c>
    </row>
    <row r="18" spans="1:7" x14ac:dyDescent="0.2">
      <c r="A18" s="33" t="s">
        <v>94</v>
      </c>
      <c r="B18" s="33" t="s">
        <v>89</v>
      </c>
      <c r="C18" s="63">
        <v>2619.71</v>
      </c>
      <c r="D18" s="33" t="s">
        <v>91</v>
      </c>
    </row>
    <row r="19" spans="1:7" s="43" customFormat="1" ht="15" x14ac:dyDescent="0.25">
      <c r="A19" s="49" t="s">
        <v>95</v>
      </c>
      <c r="B19" s="49" t="s">
        <v>97</v>
      </c>
      <c r="C19" s="64">
        <v>14</v>
      </c>
      <c r="D19" s="49" t="s">
        <v>98</v>
      </c>
      <c r="E19" s="49"/>
      <c r="F19" s="49"/>
    </row>
    <row r="20" spans="1:7" s="38" customFormat="1" ht="15" x14ac:dyDescent="0.25">
      <c r="A20" s="49"/>
      <c r="B20" s="49" t="s">
        <v>87</v>
      </c>
      <c r="C20" s="64">
        <f>+(C16/980)+((C17*4)/980)+((C18/4)/980)+(C19/4)</f>
        <v>6.7397219387755101</v>
      </c>
      <c r="D20" s="49"/>
      <c r="E20" s="49"/>
      <c r="F20" s="49"/>
    </row>
    <row r="21" spans="1:7" x14ac:dyDescent="0.2">
      <c r="A21" s="49" t="s">
        <v>71</v>
      </c>
      <c r="B21" s="49" t="s">
        <v>6</v>
      </c>
      <c r="C21" s="64">
        <v>69.63</v>
      </c>
      <c r="D21" s="49" t="s">
        <v>100</v>
      </c>
      <c r="E21" s="49" t="s">
        <v>111</v>
      </c>
      <c r="F21" s="49"/>
      <c r="G21" s="62"/>
    </row>
    <row r="22" spans="1:7" x14ac:dyDescent="0.2">
      <c r="A22" t="s">
        <v>60</v>
      </c>
      <c r="B22" t="s">
        <v>7</v>
      </c>
      <c r="C22" s="64">
        <v>28.03</v>
      </c>
      <c r="E22" s="33" t="s">
        <v>105</v>
      </c>
    </row>
    <row r="23" spans="1:7" x14ac:dyDescent="0.2">
      <c r="A23" s="33" t="s">
        <v>58</v>
      </c>
      <c r="B23" t="s">
        <v>8</v>
      </c>
      <c r="C23" s="64">
        <v>147.52000000000001</v>
      </c>
      <c r="D23" s="33" t="s">
        <v>106</v>
      </c>
      <c r="E23" s="33" t="s">
        <v>105</v>
      </c>
      <c r="F23" s="33"/>
    </row>
    <row r="24" spans="1:7" x14ac:dyDescent="0.2">
      <c r="A24" t="s">
        <v>80</v>
      </c>
      <c r="B24" t="s">
        <v>82</v>
      </c>
      <c r="C24" s="64">
        <v>85.35</v>
      </c>
      <c r="D24" s="33" t="s">
        <v>96</v>
      </c>
      <c r="E24" s="33" t="s">
        <v>105</v>
      </c>
    </row>
    <row r="25" spans="1:7" s="49" customFormat="1" x14ac:dyDescent="0.2">
      <c r="A25" s="49" t="s">
        <v>81</v>
      </c>
      <c r="B25" s="49" t="s">
        <v>83</v>
      </c>
      <c r="C25" s="64">
        <v>20.37</v>
      </c>
      <c r="D25" s="49" t="s">
        <v>99</v>
      </c>
      <c r="E25" s="49" t="s">
        <v>105</v>
      </c>
    </row>
    <row r="26" spans="1:7" ht="15" x14ac:dyDescent="0.25">
      <c r="A26" s="38" t="s">
        <v>78</v>
      </c>
      <c r="C26" s="54">
        <v>0.12</v>
      </c>
      <c r="D26" s="33" t="s">
        <v>100</v>
      </c>
    </row>
    <row r="27" spans="1:7" ht="15" x14ac:dyDescent="0.25">
      <c r="A27" s="38" t="s">
        <v>79</v>
      </c>
      <c r="C27" s="55">
        <v>1</v>
      </c>
      <c r="D27" s="33" t="s">
        <v>114</v>
      </c>
    </row>
    <row r="29" spans="1:7" x14ac:dyDescent="0.2">
      <c r="A29" t="s">
        <v>113</v>
      </c>
      <c r="C29">
        <v>135</v>
      </c>
    </row>
    <row r="30" spans="1:7" x14ac:dyDescent="0.2">
      <c r="A30" t="s">
        <v>112</v>
      </c>
      <c r="C30">
        <v>250</v>
      </c>
    </row>
  </sheetData>
  <hyperlinks>
    <hyperlink ref="E4" r:id="rId1" xr:uid="{3185298E-2215-4F2D-9A6C-C9167A092AA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B11" workbookViewId="0">
      <selection activeCell="B25" sqref="B25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28</v>
      </c>
      <c r="C1" s="14"/>
    </row>
    <row r="2" spans="1:13" ht="14.25" x14ac:dyDescent="0.2">
      <c r="A2" s="14"/>
    </row>
    <row r="3" spans="1:13" ht="43.5" x14ac:dyDescent="0.3">
      <c r="A3" s="15" t="s">
        <v>29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30</v>
      </c>
      <c r="B5" s="14"/>
      <c r="C5" s="14"/>
      <c r="D5" s="14"/>
      <c r="E5" s="14"/>
      <c r="F5" s="14"/>
      <c r="G5" s="14"/>
      <c r="H5" s="57" t="s">
        <v>102</v>
      </c>
      <c r="I5" s="14"/>
      <c r="J5" s="14"/>
      <c r="K5" s="14"/>
      <c r="L5" s="14"/>
      <c r="M5" s="14"/>
    </row>
    <row r="6" spans="1:13" ht="30" x14ac:dyDescent="0.4">
      <c r="A6" s="18" t="s">
        <v>31</v>
      </c>
      <c r="B6" s="19" t="s">
        <v>32</v>
      </c>
      <c r="C6" s="13" t="s">
        <v>33</v>
      </c>
      <c r="D6" s="14"/>
      <c r="E6" s="20"/>
      <c r="F6" s="14"/>
      <c r="G6" s="21" t="s">
        <v>34</v>
      </c>
      <c r="H6" s="58">
        <v>880</v>
      </c>
      <c r="I6" s="23" t="s">
        <v>35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67">
        <v>44738</v>
      </c>
      <c r="H8" s="68"/>
      <c r="I8" s="68"/>
      <c r="J8" s="69"/>
      <c r="K8" s="14"/>
      <c r="L8" s="14"/>
      <c r="M8" s="14"/>
    </row>
    <row r="9" spans="1:13" ht="18" x14ac:dyDescent="0.25">
      <c r="A9" s="18" t="s">
        <v>36</v>
      </c>
      <c r="B9" s="14"/>
      <c r="C9" s="14"/>
      <c r="D9" s="14"/>
      <c r="E9" s="25" t="s">
        <v>37</v>
      </c>
      <c r="F9" s="25" t="s">
        <v>38</v>
      </c>
      <c r="G9" s="22" t="s">
        <v>39</v>
      </c>
      <c r="H9" s="22" t="s">
        <v>40</v>
      </c>
      <c r="I9" s="22" t="s">
        <v>41</v>
      </c>
      <c r="J9" s="22" t="s">
        <v>42</v>
      </c>
    </row>
    <row r="10" spans="1:13" x14ac:dyDescent="0.2">
      <c r="A10" s="18"/>
      <c r="B10" s="14"/>
      <c r="C10" s="14"/>
      <c r="D10" s="14" t="s">
        <v>61</v>
      </c>
      <c r="E10" s="26" t="s">
        <v>43</v>
      </c>
      <c r="F10" s="26">
        <f t="shared" ref="F10:F11" si="0">19282.5/2</f>
        <v>9641.25</v>
      </c>
      <c r="G10" s="27">
        <f>+Datos!C5</f>
        <v>8931.92</v>
      </c>
      <c r="H10" s="27">
        <f>G10*F10/$H$6</f>
        <v>97857.81102272727</v>
      </c>
      <c r="I10" s="27">
        <f t="shared" ref="I10:I18" si="1">+H10/$H$6</f>
        <v>111.2020579803719</v>
      </c>
      <c r="J10" s="27">
        <f t="shared" ref="J10:J18" si="2">I10/2</f>
        <v>55.601028990185952</v>
      </c>
    </row>
    <row r="11" spans="1:13" ht="15.75" x14ac:dyDescent="0.25">
      <c r="A11" s="18"/>
      <c r="B11" s="14"/>
      <c r="C11" s="14"/>
      <c r="D11" s="14" t="s">
        <v>62</v>
      </c>
      <c r="E11" s="56" t="s">
        <v>101</v>
      </c>
      <c r="F11" s="26">
        <f t="shared" si="0"/>
        <v>9641.25</v>
      </c>
      <c r="G11" s="27">
        <f>+Datos!C6*Datos!$C$4</f>
        <v>17240.635000000002</v>
      </c>
      <c r="H11" s="27">
        <f t="shared" ref="H11:H18" si="3">G11*F11/$H$6</f>
        <v>188887.80931107956</v>
      </c>
      <c r="I11" s="27">
        <f t="shared" si="1"/>
        <v>214.64523785349951</v>
      </c>
      <c r="J11" s="27">
        <f t="shared" si="2"/>
        <v>107.32261892674975</v>
      </c>
    </row>
    <row r="12" spans="1:13" x14ac:dyDescent="0.2">
      <c r="A12" s="18"/>
      <c r="B12" s="14"/>
      <c r="C12" s="14"/>
      <c r="D12" s="14" t="s">
        <v>63</v>
      </c>
      <c r="E12" s="26" t="s">
        <v>44</v>
      </c>
      <c r="F12" s="26">
        <v>3857.5</v>
      </c>
      <c r="G12" s="27">
        <f>+Datos!C7</f>
        <v>685.21</v>
      </c>
      <c r="H12" s="27">
        <f t="shared" si="3"/>
        <v>3003.6336079545458</v>
      </c>
      <c r="I12" s="27">
        <f t="shared" si="1"/>
        <v>3.4132200090392568</v>
      </c>
      <c r="J12" s="27">
        <f t="shared" si="2"/>
        <v>1.7066100045196284</v>
      </c>
    </row>
    <row r="13" spans="1:13" x14ac:dyDescent="0.2">
      <c r="A13" s="18"/>
      <c r="B13" s="14"/>
      <c r="C13" s="14"/>
      <c r="D13" s="14" t="s">
        <v>64</v>
      </c>
      <c r="E13" s="26" t="s">
        <v>45</v>
      </c>
      <c r="F13" s="26">
        <v>61.5</v>
      </c>
      <c r="G13" s="27">
        <f>+Datos!C8</f>
        <v>23628</v>
      </c>
      <c r="H13" s="27">
        <f t="shared" si="3"/>
        <v>1651.2750000000001</v>
      </c>
      <c r="I13" s="27">
        <f t="shared" si="1"/>
        <v>1.8764488636363637</v>
      </c>
      <c r="J13" s="27">
        <f t="shared" si="2"/>
        <v>0.93822443181818183</v>
      </c>
    </row>
    <row r="14" spans="1:13" x14ac:dyDescent="0.2">
      <c r="A14" s="18"/>
      <c r="B14" s="14"/>
      <c r="C14" s="14"/>
      <c r="D14" s="14" t="s">
        <v>65</v>
      </c>
      <c r="E14" s="26" t="s">
        <v>46</v>
      </c>
      <c r="F14" s="26">
        <v>41.25</v>
      </c>
      <c r="G14" s="27">
        <f>+Datos!C9</f>
        <v>13740</v>
      </c>
      <c r="H14" s="27">
        <f t="shared" si="3"/>
        <v>644.0625</v>
      </c>
      <c r="I14" s="27">
        <f t="shared" si="1"/>
        <v>0.73188920454545459</v>
      </c>
      <c r="J14" s="27">
        <f t="shared" si="2"/>
        <v>0.36594460227272729</v>
      </c>
    </row>
    <row r="15" spans="1:13" x14ac:dyDescent="0.2">
      <c r="A15" s="18"/>
      <c r="B15" s="14"/>
      <c r="C15" s="14"/>
      <c r="D15" s="14" t="s">
        <v>66</v>
      </c>
      <c r="E15" s="26" t="s">
        <v>47</v>
      </c>
      <c r="F15" s="26">
        <v>900</v>
      </c>
      <c r="G15" s="27">
        <f>+Datos!C10</f>
        <v>2436</v>
      </c>
      <c r="H15" s="27">
        <f t="shared" si="3"/>
        <v>2491.3636363636365</v>
      </c>
      <c r="I15" s="27">
        <f t="shared" si="1"/>
        <v>2.8310950413223144</v>
      </c>
      <c r="J15" s="27">
        <f t="shared" si="2"/>
        <v>1.4155475206611572</v>
      </c>
    </row>
    <row r="16" spans="1:13" x14ac:dyDescent="0.2">
      <c r="A16" s="18"/>
      <c r="B16" s="14"/>
      <c r="C16" s="14"/>
      <c r="D16" s="14" t="s">
        <v>67</v>
      </c>
      <c r="E16" s="26" t="s">
        <v>48</v>
      </c>
      <c r="F16" s="26">
        <v>514.25</v>
      </c>
      <c r="G16" s="27">
        <f>+Datos!C11</f>
        <v>16404.03</v>
      </c>
      <c r="H16" s="27">
        <f t="shared" si="3"/>
        <v>9586.105031250001</v>
      </c>
      <c r="I16" s="27">
        <f t="shared" si="1"/>
        <v>10.893301171875001</v>
      </c>
      <c r="J16" s="27">
        <f t="shared" si="2"/>
        <v>5.4466505859375003</v>
      </c>
    </row>
    <row r="17" spans="1:13" x14ac:dyDescent="0.2">
      <c r="A17" s="18"/>
      <c r="B17" s="14"/>
      <c r="C17" s="14"/>
      <c r="D17" s="14" t="s">
        <v>68</v>
      </c>
      <c r="E17" s="26" t="s">
        <v>49</v>
      </c>
      <c r="F17" s="26">
        <v>52.06</v>
      </c>
      <c r="G17" s="27">
        <f>+Datos!C12*Datos!$C$4</f>
        <v>25402.25</v>
      </c>
      <c r="H17" s="27">
        <f t="shared" si="3"/>
        <v>1502.7740170454545</v>
      </c>
      <c r="I17" s="27">
        <f t="shared" si="1"/>
        <v>1.7076977466425618</v>
      </c>
      <c r="J17" s="27">
        <f t="shared" si="2"/>
        <v>0.8538488733212809</v>
      </c>
    </row>
    <row r="18" spans="1:13" x14ac:dyDescent="0.2">
      <c r="A18" s="18"/>
      <c r="B18" s="14"/>
      <c r="C18" s="14"/>
      <c r="D18" s="14" t="s">
        <v>69</v>
      </c>
      <c r="E18" s="26" t="s">
        <v>50</v>
      </c>
      <c r="F18" s="26">
        <v>21.1</v>
      </c>
      <c r="G18" s="27">
        <f>+Datos!C13*Datos!$C$4</f>
        <v>29605.5</v>
      </c>
      <c r="H18" s="27">
        <f t="shared" si="3"/>
        <v>709.85914772727278</v>
      </c>
      <c r="I18" s="27">
        <f t="shared" si="1"/>
        <v>0.80665812241735546</v>
      </c>
      <c r="J18" s="27">
        <f t="shared" si="2"/>
        <v>0.40332906120867773</v>
      </c>
    </row>
    <row r="19" spans="1:13" ht="15.75" x14ac:dyDescent="0.25">
      <c r="A19" s="18"/>
      <c r="B19" s="14"/>
      <c r="C19" s="14"/>
      <c r="D19" s="14"/>
      <c r="E19" s="28" t="s">
        <v>51</v>
      </c>
      <c r="F19" s="28">
        <f>SUM(F10:F18)</f>
        <v>24730.16</v>
      </c>
      <c r="G19" s="29"/>
      <c r="H19" s="29">
        <f t="shared" ref="H19:J19" si="4">SUM(H10:H18)</f>
        <v>306334.69327414775</v>
      </c>
      <c r="I19" s="29">
        <f t="shared" si="4"/>
        <v>348.10760599334969</v>
      </c>
      <c r="J19" s="29">
        <f t="shared" si="4"/>
        <v>174.05380299667485</v>
      </c>
    </row>
    <row r="20" spans="1:13" ht="18" x14ac:dyDescent="0.25">
      <c r="A20" s="18"/>
      <c r="B20" s="14"/>
      <c r="C20" s="30"/>
      <c r="D20" s="14" t="s">
        <v>70</v>
      </c>
      <c r="E20" s="28" t="s">
        <v>52</v>
      </c>
      <c r="F20" s="28">
        <v>540000</v>
      </c>
      <c r="G20" s="31">
        <f>+Datos!C14</f>
        <v>336</v>
      </c>
      <c r="H20" s="31">
        <f>G20*F20/$H$6</f>
        <v>206181.81818181818</v>
      </c>
      <c r="I20" s="31">
        <f>+H20/$H$6</f>
        <v>234.29752066115702</v>
      </c>
      <c r="J20" s="31">
        <f>I20/2</f>
        <v>117.14876033057851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53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54</v>
      </c>
      <c r="B23" s="14"/>
      <c r="C23" s="14"/>
      <c r="D23" s="70" t="s">
        <v>55</v>
      </c>
      <c r="E23" s="71"/>
      <c r="F23" s="71"/>
      <c r="G23" s="71"/>
      <c r="H23" s="71"/>
      <c r="I23" s="71"/>
      <c r="J23" s="71"/>
      <c r="K23" s="71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A3" workbookViewId="0">
      <selection activeCell="D20" sqref="D20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75</v>
      </c>
      <c r="B2" s="2" t="s">
        <v>0</v>
      </c>
      <c r="C2" s="37">
        <v>45143</v>
      </c>
      <c r="D2" s="37">
        <f>+Datos!C2</f>
        <v>45180</v>
      </c>
    </row>
    <row r="3" spans="1:13" x14ac:dyDescent="0.25">
      <c r="A3" s="2" t="s">
        <v>56</v>
      </c>
      <c r="B3" s="2"/>
      <c r="C3" s="44">
        <f>+C4+C5</f>
        <v>273.42105506279057</v>
      </c>
      <c r="D3" s="44">
        <f>D4+D5</f>
        <v>291.20256332725336</v>
      </c>
      <c r="E3" s="8"/>
      <c r="L3" s="3"/>
      <c r="M3" s="4"/>
    </row>
    <row r="4" spans="1:13" x14ac:dyDescent="0.25">
      <c r="A4" s="5"/>
      <c r="B4" s="6" t="s">
        <v>1</v>
      </c>
      <c r="C4" s="45">
        <v>99.367252066115711</v>
      </c>
      <c r="D4" s="45">
        <f>Insumos!J20</f>
        <v>117.14876033057851</v>
      </c>
      <c r="E4" s="8"/>
      <c r="L4" s="3"/>
      <c r="M4" s="4"/>
    </row>
    <row r="5" spans="1:13" x14ac:dyDescent="0.25">
      <c r="A5" s="6"/>
      <c r="B5" s="6" t="s">
        <v>2</v>
      </c>
      <c r="C5" s="45">
        <v>174.05380299667485</v>
      </c>
      <c r="D5" s="46">
        <f>+Insumos!J19</f>
        <v>174.05380299667485</v>
      </c>
      <c r="E5" s="8"/>
      <c r="L5" s="3"/>
      <c r="M5" s="4"/>
    </row>
    <row r="6" spans="1:13" x14ac:dyDescent="0.25">
      <c r="A6" s="2" t="s">
        <v>3</v>
      </c>
      <c r="B6" s="2"/>
      <c r="C6" s="44">
        <f>+C7+C8+C9+C10+C11+C12</f>
        <v>279.64212500000002</v>
      </c>
      <c r="D6" s="44">
        <f>D7+D8+D9+D10+D11+D12</f>
        <v>280.74972193877551</v>
      </c>
      <c r="E6" s="8"/>
      <c r="L6" s="3"/>
      <c r="M6" s="4"/>
    </row>
    <row r="7" spans="1:13" x14ac:dyDescent="0.25">
      <c r="A7" s="6" t="s">
        <v>84</v>
      </c>
      <c r="B7" s="6" t="s">
        <v>4</v>
      </c>
      <c r="C7" s="45">
        <v>2.11</v>
      </c>
      <c r="D7" s="45">
        <f>+Datos!C15</f>
        <v>2.4</v>
      </c>
      <c r="E7" s="8"/>
      <c r="L7" s="3"/>
      <c r="M7" s="4"/>
    </row>
    <row r="8" spans="1:13" x14ac:dyDescent="0.25">
      <c r="A8" s="6"/>
      <c r="B8" s="6" t="s">
        <v>5</v>
      </c>
      <c r="C8" s="45">
        <v>5.9221250000000003</v>
      </c>
      <c r="D8" s="45">
        <f>+Datos!C20</f>
        <v>6.7397219387755101</v>
      </c>
      <c r="E8" s="8"/>
      <c r="L8" s="3"/>
      <c r="M8" s="4"/>
    </row>
    <row r="9" spans="1:13" x14ac:dyDescent="0.25">
      <c r="A9" s="6" t="s">
        <v>71</v>
      </c>
      <c r="B9" s="6" t="s">
        <v>6</v>
      </c>
      <c r="C9" s="45">
        <v>69.63</v>
      </c>
      <c r="D9" s="45">
        <f>+Datos!C21</f>
        <v>69.63</v>
      </c>
      <c r="E9" s="33"/>
      <c r="L9" s="3"/>
      <c r="M9" s="4"/>
    </row>
    <row r="10" spans="1:13" x14ac:dyDescent="0.25">
      <c r="A10" s="6" t="s">
        <v>60</v>
      </c>
      <c r="B10" s="6" t="s">
        <v>7</v>
      </c>
      <c r="C10" s="45">
        <v>28.03</v>
      </c>
      <c r="D10" s="45">
        <f>+Datos!C22</f>
        <v>28.03</v>
      </c>
      <c r="E10" s="33"/>
      <c r="L10" s="3"/>
      <c r="M10" s="4"/>
    </row>
    <row r="11" spans="1:13" x14ac:dyDescent="0.25">
      <c r="A11" s="6" t="s">
        <v>58</v>
      </c>
      <c r="B11" s="6" t="s">
        <v>8</v>
      </c>
      <c r="C11" s="45">
        <v>147.52000000000001</v>
      </c>
      <c r="D11" s="45">
        <f>+Datos!C23</f>
        <v>147.52000000000001</v>
      </c>
      <c r="E11" s="33"/>
      <c r="L11" s="3"/>
      <c r="M11" s="4"/>
    </row>
    <row r="12" spans="1:13" x14ac:dyDescent="0.25">
      <c r="A12" s="6" t="s">
        <v>59</v>
      </c>
      <c r="B12" s="6" t="s">
        <v>9</v>
      </c>
      <c r="C12" s="45">
        <v>26.43</v>
      </c>
      <c r="D12" s="45">
        <f>+(Datos!C24+Datos!C25)/4</f>
        <v>26.43</v>
      </c>
      <c r="E12" s="33"/>
      <c r="G12" s="43"/>
      <c r="L12" s="3"/>
      <c r="M12" s="4"/>
    </row>
    <row r="13" spans="1:13" s="38" customFormat="1" x14ac:dyDescent="0.25">
      <c r="A13" s="2" t="s">
        <v>74</v>
      </c>
      <c r="B13" s="2">
        <v>0.2</v>
      </c>
      <c r="C13" s="44">
        <f>+(C3+C6)*$B$13</f>
        <v>110.61263601255813</v>
      </c>
      <c r="D13" s="44">
        <f>+(D3+D6)*$B$13</f>
        <v>114.39045705320578</v>
      </c>
      <c r="G13" s="42"/>
      <c r="L13" s="36"/>
      <c r="M13" s="39"/>
    </row>
    <row r="14" spans="1:13" x14ac:dyDescent="0.25">
      <c r="A14" s="2" t="s">
        <v>10</v>
      </c>
      <c r="B14" s="7"/>
      <c r="C14" s="47">
        <f>C15+C16</f>
        <v>385</v>
      </c>
      <c r="D14" s="47">
        <f>D15+D16</f>
        <v>401.2</v>
      </c>
      <c r="L14" s="3"/>
      <c r="M14" s="4"/>
    </row>
    <row r="15" spans="1:13" x14ac:dyDescent="0.25">
      <c r="A15" s="6"/>
      <c r="B15" s="6" t="s">
        <v>11</v>
      </c>
      <c r="C15" s="45">
        <v>135</v>
      </c>
      <c r="D15" s="45">
        <f>+C15+C15*Datos!C26</f>
        <v>151.19999999999999</v>
      </c>
      <c r="E15" s="8"/>
      <c r="G15" s="41"/>
      <c r="L15" s="3"/>
      <c r="M15" s="4"/>
    </row>
    <row r="16" spans="1:13" x14ac:dyDescent="0.25">
      <c r="A16" s="6"/>
      <c r="B16" s="6" t="s">
        <v>12</v>
      </c>
      <c r="C16" s="45">
        <v>250</v>
      </c>
      <c r="D16" s="45">
        <f>+Datos!C30</f>
        <v>250</v>
      </c>
      <c r="E16" s="8"/>
      <c r="G16" s="41"/>
      <c r="L16" s="3"/>
      <c r="M16" s="4"/>
    </row>
    <row r="17" spans="1:13" x14ac:dyDescent="0.25">
      <c r="A17" s="2"/>
      <c r="B17" s="2" t="s">
        <v>13</v>
      </c>
      <c r="C17" s="44">
        <v>1048.6758160753488</v>
      </c>
      <c r="D17" s="44">
        <f>+D3+D6+D13+D14</f>
        <v>1087.5427423192345</v>
      </c>
      <c r="E17" s="66"/>
      <c r="L17" s="3"/>
      <c r="M17" s="4"/>
    </row>
    <row r="18" spans="1:13" x14ac:dyDescent="0.25">
      <c r="A18" s="35"/>
      <c r="B18" s="35"/>
      <c r="C18" s="36"/>
      <c r="D18" s="59"/>
      <c r="L18" s="3"/>
      <c r="M18" s="4"/>
    </row>
    <row r="19" spans="1:13" x14ac:dyDescent="0.25">
      <c r="A19" s="35"/>
      <c r="B19" s="35"/>
      <c r="C19" s="36"/>
      <c r="D19" s="36"/>
      <c r="L19" s="3"/>
      <c r="M19" s="4"/>
    </row>
    <row r="20" spans="1:13" x14ac:dyDescent="0.25">
      <c r="A20" s="35"/>
      <c r="B20" s="35"/>
      <c r="C20" s="36" t="s">
        <v>73</v>
      </c>
      <c r="D20" s="36">
        <f>+D17*4</f>
        <v>4350.1709692769382</v>
      </c>
      <c r="L20" s="3"/>
      <c r="M20" s="4"/>
    </row>
    <row r="21" spans="1:13" x14ac:dyDescent="0.25">
      <c r="D21" s="34"/>
    </row>
    <row r="22" spans="1:13" ht="15" customHeight="1" x14ac:dyDescent="0.25">
      <c r="A22" s="73" t="s">
        <v>14</v>
      </c>
      <c r="B22" s="71"/>
      <c r="C22" s="71"/>
      <c r="D22" s="51"/>
      <c r="E22" s="9"/>
      <c r="F22" s="9"/>
      <c r="G22" s="9"/>
    </row>
    <row r="23" spans="1:13" ht="15" customHeight="1" x14ac:dyDescent="0.25">
      <c r="A23" s="72" t="s">
        <v>15</v>
      </c>
      <c r="B23" s="71"/>
      <c r="C23" s="71"/>
      <c r="D23" s="10"/>
      <c r="E23" s="10"/>
      <c r="F23" s="10"/>
      <c r="G23" s="10"/>
    </row>
    <row r="24" spans="1:13" ht="15" customHeight="1" x14ac:dyDescent="0.25">
      <c r="A24" s="72" t="s">
        <v>16</v>
      </c>
      <c r="B24" s="71"/>
      <c r="C24" s="71"/>
      <c r="D24" s="10"/>
      <c r="E24" s="10"/>
      <c r="F24" s="10"/>
      <c r="G24" s="10"/>
    </row>
    <row r="25" spans="1:13" ht="30.75" customHeight="1" x14ac:dyDescent="0.25">
      <c r="A25" s="72" t="s">
        <v>17</v>
      </c>
      <c r="B25" s="71"/>
      <c r="C25" s="71"/>
      <c r="D25" s="10"/>
      <c r="E25" s="10"/>
      <c r="F25" s="10"/>
      <c r="G25" s="10"/>
    </row>
    <row r="26" spans="1:13" ht="15" customHeight="1" x14ac:dyDescent="0.25">
      <c r="A26" s="72" t="s">
        <v>18</v>
      </c>
      <c r="B26" s="71"/>
      <c r="C26" s="71"/>
      <c r="D26" s="10"/>
      <c r="E26" s="10"/>
      <c r="F26" s="10"/>
      <c r="G26" s="10"/>
    </row>
    <row r="27" spans="1:13" ht="15" customHeight="1" x14ac:dyDescent="0.25">
      <c r="A27" s="72" t="s">
        <v>19</v>
      </c>
      <c r="B27" s="71"/>
      <c r="C27" s="71"/>
      <c r="D27" s="10"/>
      <c r="E27" s="10"/>
      <c r="F27" s="10"/>
      <c r="G27" s="10"/>
    </row>
    <row r="28" spans="1:13" ht="15" customHeight="1" x14ac:dyDescent="0.25">
      <c r="A28" s="72" t="s">
        <v>20</v>
      </c>
      <c r="B28" s="71"/>
      <c r="C28" s="71"/>
      <c r="D28" s="10"/>
      <c r="E28" s="10"/>
      <c r="F28" s="10"/>
      <c r="G28" s="10"/>
    </row>
    <row r="29" spans="1:13" ht="15" customHeight="1" x14ac:dyDescent="0.25">
      <c r="A29" s="72" t="s">
        <v>21</v>
      </c>
      <c r="B29" s="71"/>
      <c r="C29" s="71"/>
      <c r="D29" s="10"/>
      <c r="E29" s="10"/>
      <c r="F29" s="10"/>
      <c r="G29" s="10"/>
    </row>
    <row r="30" spans="1:13" ht="16.5" customHeight="1" x14ac:dyDescent="0.25">
      <c r="A30" s="72" t="s">
        <v>22</v>
      </c>
      <c r="B30" s="71"/>
      <c r="C30" s="71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72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57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2023-09-11T19:49:44Z</dcterms:modified>
</cp:coreProperties>
</file>