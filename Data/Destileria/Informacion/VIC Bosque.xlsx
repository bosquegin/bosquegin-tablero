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"/>
    </mc:Choice>
  </mc:AlternateContent>
  <xr:revisionPtr revIDLastSave="0" documentId="8_{43BDF246-DC6B-4DCA-B20D-56245C91A06B}" xr6:coauthVersionLast="47" xr6:coauthVersionMax="47" xr10:uidLastSave="{00000000-0000-0000-0000-000000000000}"/>
  <bookViews>
    <workbookView xWindow="-120" yWindow="-120" windowWidth="20730" windowHeight="11040" xr2:uid="{A464D8B9-B690-48B3-A1D6-447396DB797E}"/>
  </bookViews>
  <sheets>
    <sheet name="CMQ-Bosque Nativo" sheetId="1" r:id="rId1"/>
  </sheets>
  <externalReferences>
    <externalReference r:id="rId2"/>
  </externalReferences>
  <definedNames>
    <definedName name="_xlnm.Print_Area" localSheetId="0">'CMQ-Bosque Nativo'!$A$3:$O$78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H61" i="1" s="1"/>
  <c r="I61" i="1" s="1"/>
  <c r="J61" i="1" s="1"/>
  <c r="K61" i="1" s="1"/>
  <c r="L61" i="1" s="1"/>
  <c r="M61" i="1" s="1"/>
  <c r="B5" i="1"/>
  <c r="D5" i="1" s="1"/>
  <c r="E5" i="1" s="1"/>
  <c r="C9" i="1"/>
  <c r="D9" i="1"/>
  <c r="E9" i="1" s="1"/>
  <c r="F9" i="1" s="1"/>
  <c r="G9" i="1" s="1"/>
  <c r="H9" i="1" s="1"/>
  <c r="I9" i="1" s="1"/>
  <c r="J9" i="1" s="1"/>
  <c r="K9" i="1" s="1"/>
  <c r="L9" i="1" s="1"/>
  <c r="M9" i="1" s="1"/>
  <c r="N10" i="1"/>
  <c r="N11" i="1"/>
  <c r="G22" i="1"/>
  <c r="B32" i="1"/>
  <c r="C32" i="1"/>
  <c r="D32" i="1"/>
  <c r="E32" i="1"/>
  <c r="E35" i="1" s="1"/>
  <c r="F32" i="1"/>
  <c r="F35" i="1" s="1"/>
  <c r="G32" i="1"/>
  <c r="G35" i="1" s="1"/>
  <c r="H32" i="1"/>
  <c r="H35" i="1" s="1"/>
  <c r="I32" i="1"/>
  <c r="J32" i="1"/>
  <c r="K32" i="1"/>
  <c r="L32" i="1"/>
  <c r="M32" i="1"/>
  <c r="M35" i="1" s="1"/>
  <c r="B35" i="1"/>
  <c r="B36" i="1" s="1"/>
  <c r="B37" i="1" s="1"/>
  <c r="B41" i="1" s="1"/>
  <c r="C35" i="1"/>
  <c r="C36" i="1" s="1"/>
  <c r="D35" i="1"/>
  <c r="D36" i="1" s="1"/>
  <c r="D37" i="1" s="1"/>
  <c r="D41" i="1" s="1"/>
  <c r="I35" i="1"/>
  <c r="I36" i="1" s="1"/>
  <c r="I37" i="1" s="1"/>
  <c r="I41" i="1" s="1"/>
  <c r="J35" i="1"/>
  <c r="J36" i="1" s="1"/>
  <c r="J37" i="1" s="1"/>
  <c r="J41" i="1" s="1"/>
  <c r="K35" i="1"/>
  <c r="K36" i="1" s="1"/>
  <c r="K37" i="1" s="1"/>
  <c r="K41" i="1" s="1"/>
  <c r="L35" i="1"/>
  <c r="N42" i="1"/>
  <c r="C46" i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H56" i="1"/>
  <c r="I56" i="1"/>
  <c r="I58" i="1" s="1"/>
  <c r="J56" i="1"/>
  <c r="J58" i="1" s="1"/>
  <c r="K56" i="1"/>
  <c r="K58" i="1" s="1"/>
  <c r="L56" i="1"/>
  <c r="L58" i="1" s="1"/>
  <c r="M56" i="1"/>
  <c r="B58" i="1"/>
  <c r="C58" i="1"/>
  <c r="D58" i="1"/>
  <c r="E58" i="1"/>
  <c r="E59" i="1" s="1"/>
  <c r="E60" i="1" s="1"/>
  <c r="F58" i="1"/>
  <c r="F59" i="1" s="1"/>
  <c r="F60" i="1" s="1"/>
  <c r="F64" i="1" s="1"/>
  <c r="G58" i="1"/>
  <c r="G59" i="1" s="1"/>
  <c r="G60" i="1" s="1"/>
  <c r="G64" i="1" s="1"/>
  <c r="N64" i="1" s="1"/>
  <c r="H58" i="1"/>
  <c r="H59" i="1" s="1"/>
  <c r="H60" i="1" s="1"/>
  <c r="H64" i="1" s="1"/>
  <c r="M58" i="1"/>
  <c r="M59" i="1" s="1"/>
  <c r="B59" i="1"/>
  <c r="B60" i="1" s="1"/>
  <c r="B64" i="1" s="1"/>
  <c r="C59" i="1"/>
  <c r="C60" i="1" s="1"/>
  <c r="C64" i="1" s="1"/>
  <c r="D59" i="1"/>
  <c r="D60" i="1" s="1"/>
  <c r="D64" i="1" s="1"/>
  <c r="N65" i="1"/>
  <c r="B71" i="1"/>
  <c r="C71" i="1"/>
  <c r="C74" i="1" s="1"/>
  <c r="C76" i="1" s="1"/>
  <c r="C77" i="1" s="1"/>
  <c r="C78" i="1" s="1"/>
  <c r="B72" i="1"/>
  <c r="C72" i="1"/>
  <c r="C73" i="1"/>
  <c r="B74" i="1"/>
  <c r="B76" i="1" s="1"/>
  <c r="B75" i="1"/>
  <c r="C75" i="1"/>
  <c r="K59" i="1" l="1"/>
  <c r="K60" i="1"/>
  <c r="K64" i="1" s="1"/>
  <c r="J59" i="1"/>
  <c r="J60" i="1" s="1"/>
  <c r="J64" i="1" s="1"/>
  <c r="I59" i="1"/>
  <c r="I60" i="1" s="1"/>
  <c r="I64" i="1" s="1"/>
  <c r="G37" i="1"/>
  <c r="G36" i="1"/>
  <c r="B77" i="1"/>
  <c r="B78" i="1" s="1"/>
  <c r="D78" i="1" s="1"/>
  <c r="D76" i="1"/>
  <c r="F36" i="1"/>
  <c r="F37" i="1" s="1"/>
  <c r="F41" i="1" s="1"/>
  <c r="M36" i="1"/>
  <c r="M37" i="1" s="1"/>
  <c r="M41" i="1" s="1"/>
  <c r="E37" i="1"/>
  <c r="E41" i="1" s="1"/>
  <c r="E36" i="1"/>
  <c r="O64" i="1"/>
  <c r="E64" i="1"/>
  <c r="H36" i="1"/>
  <c r="H37" i="1" s="1"/>
  <c r="H41" i="1" s="1"/>
  <c r="L59" i="1"/>
  <c r="L60" i="1" s="1"/>
  <c r="L64" i="1" s="1"/>
  <c r="L36" i="1"/>
  <c r="L37" i="1" s="1"/>
  <c r="L41" i="1" s="1"/>
  <c r="C37" i="1"/>
  <c r="C41" i="1" s="1"/>
  <c r="M60" i="1"/>
  <c r="M64" i="1" s="1"/>
  <c r="G39" i="1" l="1"/>
  <c r="G41" i="1"/>
  <c r="N41" i="1" s="1"/>
</calcChain>
</file>

<file path=xl/sharedStrings.xml><?xml version="1.0" encoding="utf-8"?>
<sst xmlns="http://schemas.openxmlformats.org/spreadsheetml/2006/main" count="75" uniqueCount="58">
  <si>
    <t>TOTAL x Litro ($)</t>
  </si>
  <si>
    <t>Impuestos Internos 35,14%</t>
  </si>
  <si>
    <t>COSTO PRODUCTO SIN IMPUESTOS</t>
  </si>
  <si>
    <t>Costo Producción + Rentabilidad</t>
  </si>
  <si>
    <t>COSTO INSUMOS</t>
  </si>
  <si>
    <t>Indirectos</t>
  </si>
  <si>
    <t>Packaging</t>
  </si>
  <si>
    <t>Liquido</t>
  </si>
  <si>
    <t>0,5 X 4</t>
  </si>
  <si>
    <t>COSTO POR LITRO</t>
  </si>
  <si>
    <t>Peñon</t>
  </si>
  <si>
    <t>Polditos</t>
  </si>
  <si>
    <t>Volumen Referencia (botellas)</t>
  </si>
  <si>
    <t>VIC/HL en USD</t>
  </si>
  <si>
    <t>Verificador de Actualización</t>
  </si>
  <si>
    <t>COSTO LOGISTICO INSUMOS</t>
  </si>
  <si>
    <t>Año 2022 Ponderado</t>
  </si>
  <si>
    <t>Costo Producción + Rentabilidad (Fazonado)</t>
  </si>
  <si>
    <t xml:space="preserve">Servicios e  indirectos </t>
  </si>
  <si>
    <t>Caja + Separador (proporcional)</t>
  </si>
  <si>
    <t>Botella</t>
  </si>
  <si>
    <t>Etiqueta</t>
  </si>
  <si>
    <t>Tapon</t>
  </si>
  <si>
    <t>Palet, esquinero y estrichado</t>
  </si>
  <si>
    <t>Precinto termocontraible</t>
  </si>
  <si>
    <t>Botánicos</t>
  </si>
  <si>
    <t>Alcohol</t>
  </si>
  <si>
    <t>COPACKER: PEÑON DEL AGUILA</t>
  </si>
  <si>
    <t>variable industrial costs</t>
  </si>
  <si>
    <t>COSTO LOGISTICO INSUMOS (FLETE)</t>
  </si>
  <si>
    <t>Rentabilidad</t>
  </si>
  <si>
    <t>Costo Producción + Financiero</t>
  </si>
  <si>
    <t>Interlayer</t>
  </si>
  <si>
    <t>Tapones</t>
  </si>
  <si>
    <t>Separadores</t>
  </si>
  <si>
    <t>Precintos</t>
  </si>
  <si>
    <t>Pallet</t>
  </si>
  <si>
    <t>Etiquetas Contra</t>
  </si>
  <si>
    <t>Etiquetas Pecho</t>
  </si>
  <si>
    <t>Cajas</t>
  </si>
  <si>
    <t>Botellas</t>
  </si>
  <si>
    <t>Líquido</t>
  </si>
  <si>
    <t>Flor de azhar</t>
  </si>
  <si>
    <t>Enebro Patagónico</t>
  </si>
  <si>
    <t>Enebro Polaco</t>
  </si>
  <si>
    <t>Coriandro</t>
  </si>
  <si>
    <t>Clavo de olor</t>
  </si>
  <si>
    <t>Cedron</t>
  </si>
  <si>
    <t>Cardamomo</t>
  </si>
  <si>
    <t>Agua mezcla</t>
  </si>
  <si>
    <t>Agua</t>
  </si>
  <si>
    <t>aceite de pomelo</t>
  </si>
  <si>
    <t>Aceite de limon</t>
  </si>
  <si>
    <t>0,75 X 6</t>
  </si>
  <si>
    <t>COPACKER: POLDITOS</t>
  </si>
  <si>
    <t>USD 2022</t>
  </si>
  <si>
    <t>USD 2021</t>
  </si>
  <si>
    <t>Inflación Mensual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</si>
</sst>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1"/>
    <xf numFmtId="10" fontId="0" fillId="0" borderId="0" xfId="2" applyNumberFormat="1" applyFont="1"/>
    <xf numFmtId="4" fontId="2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/>
    <xf numFmtId="4" fontId="1" fillId="0" borderId="3" xfId="1" applyNumberFormat="1" applyBorder="1" applyAlignment="1">
      <alignment horizontal="center" vertical="center"/>
    </xf>
    <xf numFmtId="0" fontId="4" fillId="0" borderId="4" xfId="1" applyFont="1" applyBorder="1"/>
    <xf numFmtId="4" fontId="2" fillId="2" borderId="5" xfId="1" applyNumberFormat="1" applyFont="1" applyFill="1" applyBorder="1" applyAlignment="1">
      <alignment horizontal="center" vertical="center"/>
    </xf>
    <xf numFmtId="0" fontId="3" fillId="2" borderId="6" xfId="1" applyFont="1" applyFill="1" applyBorder="1"/>
    <xf numFmtId="4" fontId="1" fillId="0" borderId="5" xfId="1" applyNumberFormat="1" applyBorder="1" applyAlignment="1">
      <alignment horizontal="center" vertical="center"/>
    </xf>
    <xf numFmtId="0" fontId="4" fillId="0" borderId="6" xfId="1" applyFont="1" applyBorder="1"/>
    <xf numFmtId="0" fontId="5" fillId="3" borderId="7" xfId="1" applyFont="1" applyFill="1" applyBorder="1" applyAlignment="1">
      <alignment horizontal="center"/>
    </xf>
    <xf numFmtId="17" fontId="6" fillId="0" borderId="8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3" fontId="1" fillId="0" borderId="0" xfId="1" applyNumberFormat="1" applyAlignment="1">
      <alignment horizontal="center"/>
    </xf>
    <xf numFmtId="3" fontId="1" fillId="0" borderId="1" xfId="1" applyNumberFormat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4" fontId="2" fillId="2" borderId="10" xfId="1" applyNumberFormat="1" applyFont="1" applyFill="1" applyBorder="1" applyAlignment="1">
      <alignment horizontal="center" vertical="center"/>
    </xf>
    <xf numFmtId="164" fontId="7" fillId="5" borderId="0" xfId="1" applyNumberFormat="1" applyFont="1" applyFill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6" borderId="0" xfId="1" applyFill="1"/>
    <xf numFmtId="0" fontId="3" fillId="2" borderId="0" xfId="1" applyFont="1" applyFill="1"/>
    <xf numFmtId="0" fontId="8" fillId="7" borderId="0" xfId="1" applyFont="1" applyFill="1" applyAlignment="1">
      <alignment horizontal="center"/>
    </xf>
    <xf numFmtId="4" fontId="9" fillId="2" borderId="1" xfId="1" applyNumberFormat="1" applyFont="1" applyFill="1" applyBorder="1" applyAlignment="1">
      <alignment horizontal="center" vertical="center"/>
    </xf>
    <xf numFmtId="4" fontId="10" fillId="0" borderId="3" xfId="1" applyNumberFormat="1" applyFont="1" applyBorder="1" applyAlignment="1">
      <alignment horizontal="center" vertical="center"/>
    </xf>
    <xf numFmtId="4" fontId="10" fillId="0" borderId="11" xfId="1" applyNumberFormat="1" applyFont="1" applyBorder="1" applyAlignment="1">
      <alignment horizontal="center" vertical="center"/>
    </xf>
    <xf numFmtId="0" fontId="4" fillId="0" borderId="12" xfId="1" applyFont="1" applyBorder="1"/>
    <xf numFmtId="10" fontId="1" fillId="0" borderId="0" xfId="1" applyNumberFormat="1"/>
    <xf numFmtId="4" fontId="9" fillId="2" borderId="5" xfId="1" applyNumberFormat="1" applyFont="1" applyFill="1" applyBorder="1" applyAlignment="1">
      <alignment horizontal="center" vertical="center"/>
    </xf>
    <xf numFmtId="4" fontId="9" fillId="2" borderId="13" xfId="1" applyNumberFormat="1" applyFont="1" applyFill="1" applyBorder="1" applyAlignment="1">
      <alignment horizontal="center" vertical="center"/>
    </xf>
    <xf numFmtId="0" fontId="3" fillId="2" borderId="12" xfId="1" applyFont="1" applyFill="1" applyBorder="1"/>
    <xf numFmtId="9" fontId="1" fillId="0" borderId="0" xfId="1" applyNumberFormat="1"/>
    <xf numFmtId="4" fontId="10" fillId="0" borderId="5" xfId="1" applyNumberFormat="1" applyFont="1" applyBorder="1" applyAlignment="1">
      <alignment horizontal="center" vertical="center"/>
    </xf>
    <xf numFmtId="4" fontId="10" fillId="0" borderId="13" xfId="1" applyNumberFormat="1" applyFont="1" applyBorder="1" applyAlignment="1">
      <alignment horizontal="center" vertical="center"/>
    </xf>
    <xf numFmtId="0" fontId="4" fillId="0" borderId="14" xfId="1" applyFont="1" applyBorder="1"/>
    <xf numFmtId="4" fontId="2" fillId="2" borderId="13" xfId="1" applyNumberFormat="1" applyFont="1" applyFill="1" applyBorder="1" applyAlignment="1">
      <alignment horizontal="center" vertical="center"/>
    </xf>
    <xf numFmtId="0" fontId="4" fillId="0" borderId="15" xfId="1" applyFont="1" applyBorder="1"/>
    <xf numFmtId="0" fontId="4" fillId="0" borderId="16" xfId="1" applyFont="1" applyBorder="1"/>
    <xf numFmtId="0" fontId="11" fillId="0" borderId="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5" fillId="3" borderId="16" xfId="1" applyFont="1" applyFill="1" applyBorder="1" applyAlignment="1">
      <alignment horizontal="center"/>
    </xf>
    <xf numFmtId="17" fontId="6" fillId="0" borderId="17" xfId="1" applyNumberFormat="1" applyFont="1" applyBorder="1" applyAlignment="1">
      <alignment horizontal="center" vertical="center"/>
    </xf>
    <xf numFmtId="17" fontId="6" fillId="0" borderId="18" xfId="1" applyNumberFormat="1" applyFont="1" applyBorder="1" applyAlignment="1">
      <alignment horizontal="center" vertical="center"/>
    </xf>
    <xf numFmtId="0" fontId="2" fillId="8" borderId="0" xfId="1" applyFont="1" applyFill="1" applyAlignment="1">
      <alignment horizontal="center"/>
    </xf>
    <xf numFmtId="4" fontId="1" fillId="0" borderId="19" xfId="1" applyNumberFormat="1" applyBorder="1" applyAlignment="1">
      <alignment horizontal="center" vertical="center"/>
    </xf>
    <xf numFmtId="4" fontId="12" fillId="0" borderId="5" xfId="1" applyNumberFormat="1" applyFon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0" fontId="4" fillId="0" borderId="20" xfId="1" applyFont="1" applyBorder="1"/>
    <xf numFmtId="4" fontId="1" fillId="0" borderId="21" xfId="1" applyNumberForma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165" fontId="0" fillId="0" borderId="0" xfId="2" applyNumberFormat="1" applyFont="1"/>
    <xf numFmtId="9" fontId="0" fillId="0" borderId="0" xfId="2" applyFont="1"/>
    <xf numFmtId="0" fontId="2" fillId="0" borderId="0" xfId="1" applyFont="1"/>
    <xf numFmtId="165" fontId="2" fillId="0" borderId="0" xfId="1" applyNumberFormat="1" applyFont="1"/>
  </cellXfs>
  <cellStyles count="3">
    <cellStyle name="Normal" xfId="0" builtinId="0"/>
    <cellStyle name="Normal 2" xfId="1" xr:uid="{7B61C9AD-DDAD-401C-8FC9-A7CF7416AD01}"/>
    <cellStyle name="Porcentaje 2" xfId="2" xr:uid="{02751A9D-7110-473B-9791-FADF12D26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-my.sharepoint.com/personal/nicobrea_quilmes_com_ar/Documents/Beyond%20Beer/VIC/VIC%202022%20Adyacencias%20-%20Templo%20del%20V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dra 1930"/>
      <sheetName val="Isidra"/>
      <sheetName val="Del Valle"/>
      <sheetName val="Bosque Original"/>
      <sheetName val="Rider Original"/>
      <sheetName val="Bosque Nativo"/>
      <sheetName val="Rider"/>
      <sheetName val="Patagonia Ginkgo"/>
      <sheetName val="Mikes"/>
      <sheetName val="Spritzer"/>
      <sheetName val="Tratenfu"/>
    </sheetNames>
    <sheetDataSet>
      <sheetData sheetId="0">
        <row r="1">
          <cell r="B1">
            <v>3.7499999999999999E-2</v>
          </cell>
        </row>
        <row r="3">
          <cell r="B3">
            <v>125.22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FD1C-9F90-41DA-A10E-B2186DADF302}">
  <sheetPr>
    <pageSetUpPr fitToPage="1"/>
  </sheetPr>
  <dimension ref="A3:P78"/>
  <sheetViews>
    <sheetView tabSelected="1" topLeftCell="A61" workbookViewId="0">
      <selection activeCell="B74" sqref="B74"/>
    </sheetView>
  </sheetViews>
  <sheetFormatPr baseColWidth="10" defaultColWidth="12.6640625" defaultRowHeight="15" outlineLevelRow="1" x14ac:dyDescent="0.25"/>
  <cols>
    <col min="1" max="1" width="45.1640625" style="1" bestFit="1" customWidth="1"/>
    <col min="2" max="13" width="9.83203125" style="1" customWidth="1"/>
    <col min="14" max="14" width="21.5" style="1" customWidth="1"/>
    <col min="15" max="16384" width="12.6640625" style="1"/>
  </cols>
  <sheetData>
    <row r="3" spans="1:14" x14ac:dyDescent="0.25">
      <c r="A3" s="52" t="s">
        <v>57</v>
      </c>
      <c r="B3" s="53">
        <f>'[1]Sidra 1930'!B1</f>
        <v>3.7499999999999999E-2</v>
      </c>
    </row>
    <row r="4" spans="1:14" x14ac:dyDescent="0.25">
      <c r="A4" s="52" t="s">
        <v>56</v>
      </c>
      <c r="B4" s="52">
        <v>102.6</v>
      </c>
    </row>
    <row r="5" spans="1:14" x14ac:dyDescent="0.25">
      <c r="A5" s="52" t="s">
        <v>55</v>
      </c>
      <c r="B5" s="52">
        <f>'[1]Sidra 1930'!B3</f>
        <v>125.22</v>
      </c>
      <c r="D5" s="51">
        <f>1-(B5/B4)</f>
        <v>-0.22046783625731003</v>
      </c>
      <c r="E5" s="50">
        <f>(D5*(-1))/12</f>
        <v>1.8372319688109168E-2</v>
      </c>
    </row>
    <row r="7" spans="1:14" ht="15.75" thickBot="1" x14ac:dyDescent="0.3"/>
    <row r="8" spans="1:14" x14ac:dyDescent="0.25">
      <c r="A8" s="43" t="s">
        <v>54</v>
      </c>
      <c r="B8" s="12">
        <v>44562</v>
      </c>
      <c r="C8" s="12">
        <v>44593</v>
      </c>
      <c r="D8" s="12">
        <v>44621</v>
      </c>
      <c r="E8" s="12">
        <v>44652</v>
      </c>
      <c r="F8" s="12">
        <v>44682</v>
      </c>
      <c r="G8" s="12">
        <v>44713</v>
      </c>
      <c r="H8" s="12">
        <v>44743</v>
      </c>
      <c r="I8" s="12">
        <v>44774</v>
      </c>
      <c r="J8" s="12">
        <v>44805</v>
      </c>
      <c r="K8" s="12">
        <v>44835</v>
      </c>
      <c r="L8" s="12">
        <v>44866</v>
      </c>
      <c r="M8" s="41">
        <v>44896</v>
      </c>
    </row>
    <row r="9" spans="1:14" x14ac:dyDescent="0.25">
      <c r="A9" s="11" t="s">
        <v>9</v>
      </c>
      <c r="B9" s="49" t="s">
        <v>53</v>
      </c>
      <c r="C9" s="38" t="str">
        <f>B9</f>
        <v>0,75 X 6</v>
      </c>
      <c r="D9" s="38" t="str">
        <f>C9</f>
        <v>0,75 X 6</v>
      </c>
      <c r="E9" s="38" t="str">
        <f>D9</f>
        <v>0,75 X 6</v>
      </c>
      <c r="F9" s="38" t="str">
        <f>E9</f>
        <v>0,75 X 6</v>
      </c>
      <c r="G9" s="38" t="str">
        <f>F9</f>
        <v>0,75 X 6</v>
      </c>
      <c r="H9" s="38" t="str">
        <f>G9</f>
        <v>0,75 X 6</v>
      </c>
      <c r="I9" s="38" t="str">
        <f>H9</f>
        <v>0,75 X 6</v>
      </c>
      <c r="J9" s="38" t="str">
        <f>I9</f>
        <v>0,75 X 6</v>
      </c>
      <c r="K9" s="38" t="str">
        <f>J9</f>
        <v>0,75 X 6</v>
      </c>
      <c r="L9" s="38" t="str">
        <f>K9</f>
        <v>0,75 X 6</v>
      </c>
      <c r="M9" s="38" t="str">
        <f>L9</f>
        <v>0,75 X 6</v>
      </c>
    </row>
    <row r="10" spans="1:14" ht="15.75" hidden="1" customHeight="1" outlineLevel="1" x14ac:dyDescent="0.25">
      <c r="A10" s="10" t="s">
        <v>52</v>
      </c>
      <c r="B10" s="44"/>
      <c r="C10" s="9"/>
      <c r="D10" s="9"/>
      <c r="E10" s="9"/>
      <c r="F10" s="9"/>
      <c r="G10" s="32">
        <v>0.46</v>
      </c>
      <c r="H10" s="9"/>
      <c r="I10" s="9"/>
      <c r="J10" s="9"/>
      <c r="K10" s="9"/>
      <c r="L10" s="9"/>
      <c r="M10" s="9"/>
      <c r="N10" s="48">
        <f>(D10/110)*0.75</f>
        <v>0</v>
      </c>
    </row>
    <row r="11" spans="1:14" ht="15.75" hidden="1" customHeight="1" outlineLevel="1" x14ac:dyDescent="0.25">
      <c r="A11" s="10" t="s">
        <v>51</v>
      </c>
      <c r="B11" s="44"/>
      <c r="C11" s="9"/>
      <c r="D11" s="9"/>
      <c r="E11" s="9"/>
      <c r="F11" s="9"/>
      <c r="G11" s="32">
        <v>0.2</v>
      </c>
      <c r="H11" s="9"/>
      <c r="I11" s="9"/>
      <c r="J11" s="9"/>
      <c r="K11" s="9"/>
      <c r="L11" s="9"/>
      <c r="M11" s="9"/>
      <c r="N11" s="48">
        <f>(D11/110)*0.75</f>
        <v>0</v>
      </c>
    </row>
    <row r="12" spans="1:14" ht="15.75" hidden="1" customHeight="1" outlineLevel="1" x14ac:dyDescent="0.25">
      <c r="A12" s="10" t="s">
        <v>50</v>
      </c>
      <c r="B12" s="44"/>
      <c r="C12" s="9"/>
      <c r="D12" s="9"/>
      <c r="E12" s="9"/>
      <c r="F12" s="9"/>
      <c r="G12" s="32">
        <v>5.76</v>
      </c>
      <c r="H12" s="9"/>
      <c r="I12" s="9"/>
      <c r="J12" s="9"/>
      <c r="K12" s="9"/>
      <c r="L12" s="9"/>
      <c r="M12" s="9"/>
      <c r="N12" s="48"/>
    </row>
    <row r="13" spans="1:14" ht="15.75" hidden="1" customHeight="1" outlineLevel="1" x14ac:dyDescent="0.25">
      <c r="A13" s="10" t="s">
        <v>49</v>
      </c>
      <c r="B13" s="44"/>
      <c r="C13" s="9"/>
      <c r="D13" s="9"/>
      <c r="E13" s="9"/>
      <c r="F13" s="9"/>
      <c r="G13" s="32">
        <v>6.64</v>
      </c>
      <c r="H13" s="9"/>
      <c r="I13" s="9"/>
      <c r="J13" s="9"/>
      <c r="K13" s="9"/>
      <c r="L13" s="9"/>
      <c r="M13" s="9"/>
      <c r="N13" s="48"/>
    </row>
    <row r="14" spans="1:14" ht="15.75" hidden="1" customHeight="1" outlineLevel="1" x14ac:dyDescent="0.25">
      <c r="A14" s="10" t="s">
        <v>26</v>
      </c>
      <c r="B14" s="44"/>
      <c r="C14" s="9"/>
      <c r="D14" s="9"/>
      <c r="E14" s="9"/>
      <c r="F14" s="9"/>
      <c r="G14" s="32">
        <v>104.98</v>
      </c>
      <c r="H14" s="9"/>
      <c r="I14" s="9"/>
      <c r="J14" s="9"/>
      <c r="K14" s="9"/>
      <c r="L14" s="9"/>
      <c r="M14" s="9"/>
      <c r="N14" s="48"/>
    </row>
    <row r="15" spans="1:14" ht="15.75" hidden="1" customHeight="1" outlineLevel="1" x14ac:dyDescent="0.25">
      <c r="A15" s="10" t="s">
        <v>48</v>
      </c>
      <c r="B15" s="44"/>
      <c r="C15" s="9"/>
      <c r="D15" s="9"/>
      <c r="E15" s="9"/>
      <c r="F15" s="9"/>
      <c r="G15" s="32">
        <v>1.06</v>
      </c>
      <c r="H15" s="9"/>
      <c r="I15" s="9"/>
      <c r="J15" s="9"/>
      <c r="K15" s="9"/>
      <c r="L15" s="9"/>
      <c r="M15" s="9"/>
      <c r="N15" s="48"/>
    </row>
    <row r="16" spans="1:14" ht="15.75" hidden="1" customHeight="1" outlineLevel="1" x14ac:dyDescent="0.25">
      <c r="A16" s="10" t="s">
        <v>47</v>
      </c>
      <c r="B16" s="44"/>
      <c r="C16" s="9"/>
      <c r="D16" s="9"/>
      <c r="E16" s="9"/>
      <c r="F16" s="9"/>
      <c r="G16" s="32">
        <v>1.68</v>
      </c>
      <c r="H16" s="9"/>
      <c r="I16" s="9"/>
      <c r="J16" s="9"/>
      <c r="K16" s="9"/>
      <c r="L16" s="9"/>
      <c r="M16" s="9"/>
      <c r="N16" s="48"/>
    </row>
    <row r="17" spans="1:14" ht="15.75" hidden="1" customHeight="1" outlineLevel="1" x14ac:dyDescent="0.25">
      <c r="A17" s="10" t="s">
        <v>46</v>
      </c>
      <c r="B17" s="44"/>
      <c r="C17" s="9"/>
      <c r="D17" s="9"/>
      <c r="E17" s="9"/>
      <c r="F17" s="9"/>
      <c r="G17" s="32">
        <v>0.12</v>
      </c>
      <c r="H17" s="9"/>
      <c r="I17" s="9"/>
      <c r="J17" s="9"/>
      <c r="K17" s="9"/>
      <c r="L17" s="9"/>
      <c r="M17" s="9"/>
      <c r="N17" s="48"/>
    </row>
    <row r="18" spans="1:14" ht="15.75" hidden="1" customHeight="1" outlineLevel="1" x14ac:dyDescent="0.25">
      <c r="A18" s="10" t="s">
        <v>45</v>
      </c>
      <c r="B18" s="44"/>
      <c r="C18" s="9"/>
      <c r="D18" s="9"/>
      <c r="E18" s="9"/>
      <c r="F18" s="9"/>
      <c r="G18" s="32">
        <v>4.28</v>
      </c>
      <c r="H18" s="9"/>
      <c r="I18" s="9"/>
      <c r="J18" s="9"/>
      <c r="K18" s="9"/>
      <c r="L18" s="9"/>
      <c r="M18" s="9"/>
      <c r="N18" s="48"/>
    </row>
    <row r="19" spans="1:14" ht="15.75" hidden="1" customHeight="1" outlineLevel="1" x14ac:dyDescent="0.25">
      <c r="A19" s="10" t="s">
        <v>44</v>
      </c>
      <c r="B19" s="44"/>
      <c r="C19" s="9"/>
      <c r="D19" s="9"/>
      <c r="E19" s="9"/>
      <c r="F19" s="9"/>
      <c r="G19" s="32">
        <v>48.2</v>
      </c>
      <c r="H19" s="9"/>
      <c r="I19" s="9"/>
      <c r="J19" s="9"/>
      <c r="K19" s="9"/>
      <c r="L19" s="9"/>
      <c r="M19" s="9"/>
      <c r="N19" s="48"/>
    </row>
    <row r="20" spans="1:14" ht="15.75" hidden="1" customHeight="1" outlineLevel="1" x14ac:dyDescent="0.25">
      <c r="A20" s="10" t="s">
        <v>43</v>
      </c>
      <c r="B20" s="44"/>
      <c r="C20" s="9"/>
      <c r="D20" s="9"/>
      <c r="E20" s="9"/>
      <c r="F20" s="9"/>
      <c r="G20" s="32">
        <v>34.159999999999997</v>
      </c>
      <c r="H20" s="9"/>
      <c r="I20" s="9"/>
      <c r="J20" s="9"/>
      <c r="K20" s="9"/>
      <c r="L20" s="9"/>
      <c r="M20" s="9"/>
      <c r="N20" s="48"/>
    </row>
    <row r="21" spans="1:14" ht="15.75" hidden="1" customHeight="1" outlineLevel="1" x14ac:dyDescent="0.25">
      <c r="A21" s="10" t="s">
        <v>42</v>
      </c>
      <c r="B21" s="44"/>
      <c r="C21" s="9"/>
      <c r="D21" s="9"/>
      <c r="E21" s="9"/>
      <c r="F21" s="9"/>
      <c r="G21" s="32">
        <v>4.9000000000000004</v>
      </c>
      <c r="H21" s="9"/>
      <c r="I21" s="9"/>
      <c r="J21" s="9"/>
      <c r="K21" s="9"/>
      <c r="L21" s="9"/>
      <c r="M21" s="9"/>
      <c r="N21" s="48"/>
    </row>
    <row r="22" spans="1:14" ht="15.75" customHeight="1" collapsed="1" x14ac:dyDescent="0.25">
      <c r="A22" s="47" t="s">
        <v>41</v>
      </c>
      <c r="B22" s="44"/>
      <c r="C22" s="9"/>
      <c r="D22" s="9"/>
      <c r="E22" s="9"/>
      <c r="F22" s="9"/>
      <c r="G22" s="32">
        <f>SUM(G10:G21)</f>
        <v>212.44000000000003</v>
      </c>
      <c r="H22" s="9"/>
      <c r="I22" s="9"/>
      <c r="J22" s="9"/>
      <c r="K22" s="9"/>
      <c r="L22" s="9"/>
      <c r="M22" s="9"/>
      <c r="N22" s="46"/>
    </row>
    <row r="23" spans="1:14" ht="15.75" customHeight="1" x14ac:dyDescent="0.25">
      <c r="A23" s="47" t="s">
        <v>40</v>
      </c>
      <c r="B23" s="44"/>
      <c r="C23" s="9"/>
      <c r="D23" s="9"/>
      <c r="E23" s="9"/>
      <c r="F23" s="9"/>
      <c r="G23" s="32">
        <v>114.74</v>
      </c>
      <c r="H23" s="9"/>
      <c r="I23" s="9"/>
      <c r="J23" s="9"/>
      <c r="K23" s="9"/>
      <c r="L23" s="9"/>
      <c r="M23" s="9"/>
      <c r="N23" s="46"/>
    </row>
    <row r="24" spans="1:14" ht="15.75" customHeight="1" x14ac:dyDescent="0.25">
      <c r="A24" s="47" t="s">
        <v>39</v>
      </c>
      <c r="B24" s="44"/>
      <c r="C24" s="9"/>
      <c r="D24" s="9"/>
      <c r="E24" s="9"/>
      <c r="F24" s="9"/>
      <c r="G24" s="45">
        <v>28.86</v>
      </c>
      <c r="H24" s="9"/>
      <c r="I24" s="9"/>
      <c r="J24" s="9"/>
      <c r="K24" s="9"/>
      <c r="L24" s="9"/>
      <c r="M24" s="9"/>
      <c r="N24" s="46"/>
    </row>
    <row r="25" spans="1:14" ht="15.75" customHeight="1" x14ac:dyDescent="0.25">
      <c r="A25" s="10" t="s">
        <v>38</v>
      </c>
      <c r="B25" s="44"/>
      <c r="C25" s="9"/>
      <c r="D25" s="9"/>
      <c r="E25" s="9"/>
      <c r="F25" s="9"/>
      <c r="G25" s="32">
        <v>11.2</v>
      </c>
      <c r="H25" s="9"/>
      <c r="I25" s="9"/>
      <c r="J25" s="9"/>
      <c r="K25" s="9"/>
      <c r="L25" s="9"/>
      <c r="M25" s="9"/>
      <c r="N25" s="46"/>
    </row>
    <row r="26" spans="1:14" ht="15.75" customHeight="1" x14ac:dyDescent="0.25">
      <c r="A26" s="10" t="s">
        <v>37</v>
      </c>
      <c r="B26" s="44"/>
      <c r="C26" s="9"/>
      <c r="D26" s="9"/>
      <c r="E26" s="9"/>
      <c r="F26" s="9"/>
      <c r="G26" s="32">
        <v>4.8</v>
      </c>
      <c r="H26" s="9"/>
      <c r="I26" s="9"/>
      <c r="J26" s="9"/>
      <c r="K26" s="9"/>
      <c r="L26" s="9"/>
      <c r="M26" s="9"/>
    </row>
    <row r="27" spans="1:14" x14ac:dyDescent="0.25">
      <c r="A27" s="10" t="s">
        <v>36</v>
      </c>
      <c r="B27" s="44"/>
      <c r="C27" s="9"/>
      <c r="D27" s="9"/>
      <c r="E27" s="9"/>
      <c r="F27" s="9"/>
      <c r="G27" s="32">
        <v>1.86</v>
      </c>
      <c r="H27" s="9"/>
      <c r="I27" s="9"/>
      <c r="J27" s="9"/>
      <c r="K27" s="9"/>
      <c r="L27" s="9"/>
      <c r="M27" s="9"/>
    </row>
    <row r="28" spans="1:14" x14ac:dyDescent="0.25">
      <c r="A28" s="10" t="s">
        <v>35</v>
      </c>
      <c r="B28" s="44"/>
      <c r="C28" s="9"/>
      <c r="D28" s="9"/>
      <c r="E28" s="9"/>
      <c r="F28" s="9"/>
      <c r="G28" s="32">
        <v>4.3600000000000003</v>
      </c>
      <c r="H28" s="9"/>
      <c r="I28" s="9"/>
      <c r="J28" s="9"/>
      <c r="K28" s="9"/>
      <c r="L28" s="9"/>
      <c r="M28" s="9"/>
    </row>
    <row r="29" spans="1:14" x14ac:dyDescent="0.25">
      <c r="A29" s="10" t="s">
        <v>34</v>
      </c>
      <c r="B29" s="44"/>
      <c r="C29" s="9"/>
      <c r="D29" s="9"/>
      <c r="E29" s="9"/>
      <c r="F29" s="9"/>
      <c r="G29" s="45">
        <v>10.5</v>
      </c>
      <c r="H29" s="9"/>
      <c r="I29" s="9"/>
      <c r="J29" s="9"/>
      <c r="K29" s="9"/>
      <c r="L29" s="9"/>
      <c r="M29" s="9"/>
    </row>
    <row r="30" spans="1:14" x14ac:dyDescent="0.25">
      <c r="A30" s="10" t="s">
        <v>33</v>
      </c>
      <c r="B30" s="44"/>
      <c r="C30" s="9"/>
      <c r="D30" s="9"/>
      <c r="E30" s="9"/>
      <c r="F30" s="9"/>
      <c r="G30" s="32">
        <v>87.12</v>
      </c>
      <c r="H30" s="9"/>
      <c r="I30" s="9"/>
      <c r="J30" s="9"/>
      <c r="K30" s="9"/>
      <c r="L30" s="9"/>
      <c r="M30" s="9"/>
    </row>
    <row r="31" spans="1:14" x14ac:dyDescent="0.25">
      <c r="A31" s="10" t="s">
        <v>32</v>
      </c>
      <c r="B31" s="44"/>
      <c r="C31" s="9"/>
      <c r="D31" s="9"/>
      <c r="E31" s="9"/>
      <c r="F31" s="9"/>
      <c r="G31" s="32">
        <v>6.02</v>
      </c>
      <c r="H31" s="9"/>
      <c r="I31" s="9"/>
      <c r="J31" s="9"/>
      <c r="K31" s="9"/>
      <c r="L31" s="9"/>
      <c r="M31" s="9"/>
    </row>
    <row r="32" spans="1:14" x14ac:dyDescent="0.25">
      <c r="A32" s="8" t="s">
        <v>4</v>
      </c>
      <c r="B32" s="7">
        <f>+SUM(B11:B31)</f>
        <v>0</v>
      </c>
      <c r="C32" s="7">
        <f>+SUM(C11:C31)</f>
        <v>0</v>
      </c>
      <c r="D32" s="7">
        <f>+SUM(D11:D31)</f>
        <v>0</v>
      </c>
      <c r="E32" s="7">
        <f>+SUM(E11:E31)</f>
        <v>0</v>
      </c>
      <c r="F32" s="7">
        <f>+SUM(F11:F31)</f>
        <v>0</v>
      </c>
      <c r="G32" s="28">
        <f>+SUM(G22:G31)</f>
        <v>481.90000000000003</v>
      </c>
      <c r="H32" s="7">
        <f>+SUM(H11:H31)</f>
        <v>0</v>
      </c>
      <c r="I32" s="7">
        <f>+SUM(I11:I31)</f>
        <v>0</v>
      </c>
      <c r="J32" s="7">
        <f>+SUM(J11:J31)</f>
        <v>0</v>
      </c>
      <c r="K32" s="7">
        <f>+SUM(K11:K31)</f>
        <v>0</v>
      </c>
      <c r="L32" s="7">
        <f>+SUM(L11:L31)</f>
        <v>0</v>
      </c>
      <c r="M32" s="7">
        <f>+SUM(M11:M31)</f>
        <v>0</v>
      </c>
    </row>
    <row r="33" spans="1:14" x14ac:dyDescent="0.25">
      <c r="A33" s="10" t="s">
        <v>31</v>
      </c>
      <c r="B33" s="44"/>
      <c r="C33" s="9"/>
      <c r="D33" s="9"/>
      <c r="E33" s="9"/>
      <c r="F33" s="9"/>
      <c r="G33" s="32">
        <v>216.68</v>
      </c>
      <c r="H33" s="9"/>
      <c r="I33" s="9"/>
      <c r="J33" s="9"/>
      <c r="K33" s="9"/>
      <c r="L33" s="9"/>
      <c r="M33" s="9"/>
    </row>
    <row r="34" spans="1:14" x14ac:dyDescent="0.25">
      <c r="A34" s="10" t="s">
        <v>30</v>
      </c>
      <c r="B34" s="44"/>
      <c r="C34" s="9"/>
      <c r="D34" s="9"/>
      <c r="E34" s="9"/>
      <c r="F34" s="9"/>
      <c r="G34" s="32">
        <v>54.18</v>
      </c>
      <c r="H34" s="9"/>
      <c r="I34" s="9"/>
      <c r="J34" s="9"/>
      <c r="K34" s="9"/>
      <c r="L34" s="9"/>
      <c r="M34" s="9"/>
    </row>
    <row r="35" spans="1:14" x14ac:dyDescent="0.25">
      <c r="A35" s="8" t="s">
        <v>2</v>
      </c>
      <c r="B35" s="7">
        <f>+SUM(B32:B34)</f>
        <v>0</v>
      </c>
      <c r="C35" s="7">
        <f>+SUM(C32:C34)</f>
        <v>0</v>
      </c>
      <c r="D35" s="7">
        <f>+SUM(D32:D34)</f>
        <v>0</v>
      </c>
      <c r="E35" s="7">
        <f>+SUM(E32:E34)</f>
        <v>0</v>
      </c>
      <c r="F35" s="7">
        <f>+SUM(F32:F34)</f>
        <v>0</v>
      </c>
      <c r="G35" s="28">
        <f>+SUM(G32:G34)</f>
        <v>752.76</v>
      </c>
      <c r="H35" s="7">
        <f>+SUM(H32:H34)</f>
        <v>0</v>
      </c>
      <c r="I35" s="7">
        <f>+SUM(I32:I34)</f>
        <v>0</v>
      </c>
      <c r="J35" s="7">
        <f>+SUM(J32:J34)</f>
        <v>0</v>
      </c>
      <c r="K35" s="7">
        <f>+SUM(K32:K34)</f>
        <v>0</v>
      </c>
      <c r="L35" s="7">
        <f>+SUM(L32:L34)</f>
        <v>0</v>
      </c>
      <c r="M35" s="7">
        <f>+SUM(M32:M34)</f>
        <v>0</v>
      </c>
    </row>
    <row r="36" spans="1:14" ht="15.75" thickBot="1" x14ac:dyDescent="0.3">
      <c r="A36" s="6" t="s">
        <v>1</v>
      </c>
      <c r="B36" s="5">
        <f>+B35*35.14%</f>
        <v>0</v>
      </c>
      <c r="C36" s="5">
        <f>+C35*35.14%</f>
        <v>0</v>
      </c>
      <c r="D36" s="5">
        <f>+D35*35.14%</f>
        <v>0</v>
      </c>
      <c r="E36" s="5">
        <f>+E35*35.14%</f>
        <v>0</v>
      </c>
      <c r="F36" s="5">
        <f>+F35*35.14%</f>
        <v>0</v>
      </c>
      <c r="G36" s="24">
        <f>+G35*35.14%</f>
        <v>264.51986399999998</v>
      </c>
      <c r="H36" s="5">
        <f>+H35*35.14%</f>
        <v>0</v>
      </c>
      <c r="I36" s="5">
        <f>+I35*35.14%</f>
        <v>0</v>
      </c>
      <c r="J36" s="5">
        <f>+J35*35.14%</f>
        <v>0</v>
      </c>
      <c r="K36" s="5">
        <f>+K35*35.14%</f>
        <v>0</v>
      </c>
      <c r="L36" s="5">
        <f>+L35*35.14%</f>
        <v>0</v>
      </c>
      <c r="M36" s="5">
        <f>+M35*35.14%</f>
        <v>0</v>
      </c>
    </row>
    <row r="37" spans="1:14" ht="15.75" thickBot="1" x14ac:dyDescent="0.3">
      <c r="A37" s="4" t="s">
        <v>0</v>
      </c>
      <c r="B37" s="3">
        <f>+SUM(B35:B36)</f>
        <v>0</v>
      </c>
      <c r="C37" s="3">
        <f>+SUM(C35:C36)</f>
        <v>0</v>
      </c>
      <c r="D37" s="3">
        <f>+SUM(D35:D36)</f>
        <v>0</v>
      </c>
      <c r="E37" s="3">
        <f>+SUM(E35:E36)</f>
        <v>0</v>
      </c>
      <c r="F37" s="3">
        <f>+SUM(F35:F36)</f>
        <v>0</v>
      </c>
      <c r="G37" s="23">
        <f>+SUM(G35:G36)</f>
        <v>1017.279864</v>
      </c>
      <c r="H37" s="3">
        <f>+SUM(H35:H36)</f>
        <v>0</v>
      </c>
      <c r="I37" s="3">
        <f>+SUM(I35:I36)</f>
        <v>0</v>
      </c>
      <c r="J37" s="3">
        <f>+SUM(J35:J36)</f>
        <v>0</v>
      </c>
      <c r="K37" s="3">
        <f>+SUM(K35:K36)</f>
        <v>0</v>
      </c>
      <c r="L37" s="3">
        <f>+SUM(L35:L36)</f>
        <v>0</v>
      </c>
      <c r="M37" s="3">
        <f>+SUM(M35:M36)</f>
        <v>0</v>
      </c>
      <c r="N37" s="22" t="s">
        <v>16</v>
      </c>
    </row>
    <row r="38" spans="1:14" ht="15.75" thickBot="1" x14ac:dyDescent="0.3">
      <c r="A38" s="4" t="s">
        <v>29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2"/>
    </row>
    <row r="39" spans="1:14" x14ac:dyDescent="0.25">
      <c r="A39" s="21" t="s">
        <v>14</v>
      </c>
      <c r="G39" s="20">
        <f>+G37/2</f>
        <v>508.63993199999999</v>
      </c>
    </row>
    <row r="40" spans="1:14" ht="15.75" thickBot="1" x14ac:dyDescent="0.3"/>
    <row r="41" spans="1:14" ht="16.5" thickBot="1" x14ac:dyDescent="0.3">
      <c r="A41" s="16" t="s">
        <v>13</v>
      </c>
      <c r="B41" s="19">
        <f>+((B37+B38)/$B$5)*100</f>
        <v>0</v>
      </c>
      <c r="C41" s="19">
        <f>+((C37+C38)/$B$5)*100</f>
        <v>0</v>
      </c>
      <c r="D41" s="19">
        <f>+((D37+D38)/$B$5)*100</f>
        <v>0</v>
      </c>
      <c r="E41" s="19">
        <f>+((E37+E38)/$B$5)*100</f>
        <v>0</v>
      </c>
      <c r="F41" s="19">
        <f>+((F37+F38)/$B$5)*100</f>
        <v>0</v>
      </c>
      <c r="G41" s="19">
        <f>+((G37+G38)/$B$5)*100</f>
        <v>812.39407762338283</v>
      </c>
      <c r="H41" s="19">
        <f>+((H37+H38)/$B$5)*100</f>
        <v>0</v>
      </c>
      <c r="I41" s="19">
        <f>+((I37+I38)/$B$5)*100</f>
        <v>0</v>
      </c>
      <c r="J41" s="19">
        <f>+((J37+J38)/$B$5)*100</f>
        <v>0</v>
      </c>
      <c r="K41" s="19">
        <f>+((K37+K38)/$B$5)*100</f>
        <v>0</v>
      </c>
      <c r="L41" s="19">
        <f>+((L37+L38)/$B$5)*100</f>
        <v>0</v>
      </c>
      <c r="M41" s="19">
        <f>+((M37+M38)/$B$5)*100</f>
        <v>0</v>
      </c>
      <c r="N41" s="18" t="e">
        <f>SUMPRODUCT(B41:M41,B42:M42)/SUM(B42:M42)</f>
        <v>#DIV/0!</v>
      </c>
    </row>
    <row r="42" spans="1:14" ht="15.75" thickBot="1" x14ac:dyDescent="0.3">
      <c r="A42" s="16" t="s">
        <v>12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4">
        <f>SUM(B42:M42)</f>
        <v>0</v>
      </c>
    </row>
    <row r="43" spans="1:14" x14ac:dyDescent="0.25">
      <c r="A43" s="1" t="s">
        <v>28</v>
      </c>
    </row>
    <row r="44" spans="1:14" ht="15.75" thickBot="1" x14ac:dyDescent="0.3"/>
    <row r="45" spans="1:14" x14ac:dyDescent="0.25">
      <c r="A45" s="43" t="s">
        <v>27</v>
      </c>
      <c r="B45" s="42">
        <v>44562</v>
      </c>
      <c r="C45" s="12">
        <v>44593</v>
      </c>
      <c r="D45" s="12">
        <v>44621</v>
      </c>
      <c r="E45" s="12">
        <v>44652</v>
      </c>
      <c r="F45" s="12">
        <v>44682</v>
      </c>
      <c r="G45" s="12">
        <v>44713</v>
      </c>
      <c r="H45" s="12">
        <v>44743</v>
      </c>
      <c r="I45" s="12">
        <v>44774</v>
      </c>
      <c r="J45" s="12">
        <v>44805</v>
      </c>
      <c r="K45" s="12">
        <v>44835</v>
      </c>
      <c r="L45" s="12">
        <v>44866</v>
      </c>
      <c r="M45" s="41">
        <v>44896</v>
      </c>
    </row>
    <row r="46" spans="1:14" x14ac:dyDescent="0.25">
      <c r="A46" s="40" t="s">
        <v>9</v>
      </c>
      <c r="B46" s="39" t="s">
        <v>8</v>
      </c>
      <c r="C46" s="38" t="str">
        <f>B46</f>
        <v>0,5 X 4</v>
      </c>
      <c r="D46" s="38" t="str">
        <f>C46</f>
        <v>0,5 X 4</v>
      </c>
      <c r="E46" s="38" t="str">
        <f>D46</f>
        <v>0,5 X 4</v>
      </c>
      <c r="F46" s="38" t="str">
        <f>E46</f>
        <v>0,5 X 4</v>
      </c>
      <c r="G46" s="38" t="str">
        <f>F46</f>
        <v>0,5 X 4</v>
      </c>
      <c r="H46" s="38" t="str">
        <f>G46</f>
        <v>0,5 X 4</v>
      </c>
      <c r="I46" s="38" t="str">
        <f>H46</f>
        <v>0,5 X 4</v>
      </c>
      <c r="J46" s="38" t="str">
        <f>I46</f>
        <v>0,5 X 4</v>
      </c>
      <c r="K46" s="38" t="str">
        <f>J46</f>
        <v>0,5 X 4</v>
      </c>
      <c r="L46" s="38" t="str">
        <f>K46</f>
        <v>0,5 X 4</v>
      </c>
      <c r="M46" s="38" t="str">
        <f>L46</f>
        <v>0,5 X 4</v>
      </c>
    </row>
    <row r="47" spans="1:14" x14ac:dyDescent="0.25">
      <c r="A47" s="36" t="s">
        <v>26</v>
      </c>
      <c r="B47" s="33">
        <v>50</v>
      </c>
      <c r="C47" s="32">
        <v>52.8</v>
      </c>
      <c r="D47" s="32">
        <v>59.88</v>
      </c>
      <c r="E47" s="32">
        <v>63</v>
      </c>
      <c r="F47" s="32">
        <v>72</v>
      </c>
      <c r="G47" s="32">
        <v>75.599999999999994</v>
      </c>
      <c r="H47" s="9"/>
      <c r="I47" s="9"/>
      <c r="J47" s="9"/>
      <c r="K47" s="9"/>
      <c r="L47" s="9"/>
      <c r="M47" s="9"/>
    </row>
    <row r="48" spans="1:14" x14ac:dyDescent="0.25">
      <c r="A48" s="37" t="s">
        <v>25</v>
      </c>
      <c r="B48" s="33">
        <v>82.74</v>
      </c>
      <c r="C48" s="32">
        <v>82.74</v>
      </c>
      <c r="D48" s="32">
        <v>88.2</v>
      </c>
      <c r="E48" s="32">
        <v>90.8</v>
      </c>
      <c r="F48" s="32">
        <v>102.26</v>
      </c>
      <c r="G48" s="32">
        <v>102.26</v>
      </c>
      <c r="H48" s="9"/>
      <c r="I48" s="9"/>
      <c r="J48" s="9"/>
      <c r="K48" s="9"/>
      <c r="L48" s="9"/>
      <c r="M48" s="9"/>
    </row>
    <row r="49" spans="1:16" x14ac:dyDescent="0.25">
      <c r="A49" s="36" t="s">
        <v>24</v>
      </c>
      <c r="B49" s="33">
        <v>1.58</v>
      </c>
      <c r="C49" s="32">
        <v>1.58</v>
      </c>
      <c r="D49" s="32">
        <v>1.58</v>
      </c>
      <c r="E49" s="32">
        <v>1.58</v>
      </c>
      <c r="F49" s="32">
        <v>1.8</v>
      </c>
      <c r="G49" s="32">
        <v>1.8</v>
      </c>
      <c r="H49" s="9"/>
      <c r="I49" s="9"/>
      <c r="J49" s="9"/>
      <c r="K49" s="9"/>
      <c r="L49" s="9"/>
      <c r="M49" s="9"/>
    </row>
    <row r="50" spans="1:16" x14ac:dyDescent="0.25">
      <c r="A50" s="37" t="s">
        <v>23</v>
      </c>
      <c r="B50" s="33">
        <v>2.04</v>
      </c>
      <c r="C50" s="32">
        <v>2.5</v>
      </c>
      <c r="D50" s="32">
        <v>2.5</v>
      </c>
      <c r="E50" s="32">
        <v>2.5</v>
      </c>
      <c r="F50" s="32">
        <v>2.9</v>
      </c>
      <c r="G50" s="32">
        <v>2.9</v>
      </c>
      <c r="H50" s="9"/>
      <c r="I50" s="9"/>
      <c r="J50" s="9"/>
      <c r="K50" s="9"/>
      <c r="L50" s="9"/>
      <c r="M50" s="9"/>
    </row>
    <row r="51" spans="1:16" x14ac:dyDescent="0.25">
      <c r="A51" s="36" t="s">
        <v>22</v>
      </c>
      <c r="B51" s="33">
        <v>62.54</v>
      </c>
      <c r="C51" s="32">
        <v>77.28</v>
      </c>
      <c r="D51" s="32">
        <v>77.28</v>
      </c>
      <c r="E51" s="32">
        <v>77.28</v>
      </c>
      <c r="F51" s="32">
        <v>77.28</v>
      </c>
      <c r="G51" s="32">
        <v>77.28</v>
      </c>
      <c r="H51" s="9"/>
      <c r="I51" s="9"/>
      <c r="J51" s="9"/>
      <c r="K51" s="9"/>
      <c r="L51" s="9"/>
      <c r="M51" s="9"/>
    </row>
    <row r="52" spans="1:16" x14ac:dyDescent="0.25">
      <c r="A52" s="37" t="s">
        <v>21</v>
      </c>
      <c r="B52" s="33">
        <v>26.24</v>
      </c>
      <c r="C52" s="32">
        <v>26.24</v>
      </c>
      <c r="D52" s="32">
        <v>26.24</v>
      </c>
      <c r="E52" s="32">
        <v>26.24</v>
      </c>
      <c r="F52" s="32">
        <v>26.24</v>
      </c>
      <c r="G52" s="32">
        <v>26.24</v>
      </c>
      <c r="H52" s="9"/>
      <c r="I52" s="9"/>
      <c r="J52" s="9"/>
      <c r="K52" s="9"/>
      <c r="L52" s="9"/>
      <c r="M52" s="9"/>
    </row>
    <row r="53" spans="1:16" x14ac:dyDescent="0.25">
      <c r="A53" s="36" t="s">
        <v>20</v>
      </c>
      <c r="B53" s="33">
        <v>62.2</v>
      </c>
      <c r="C53" s="32">
        <v>86.7</v>
      </c>
      <c r="D53" s="32">
        <v>86.7</v>
      </c>
      <c r="E53" s="32">
        <v>86.7</v>
      </c>
      <c r="F53" s="32">
        <v>96.74</v>
      </c>
      <c r="G53" s="32">
        <v>114.74</v>
      </c>
      <c r="H53" s="9"/>
      <c r="I53" s="9"/>
      <c r="J53" s="9"/>
      <c r="K53" s="9"/>
      <c r="L53" s="9"/>
      <c r="M53" s="9"/>
    </row>
    <row r="54" spans="1:16" x14ac:dyDescent="0.25">
      <c r="A54" s="37" t="s">
        <v>19</v>
      </c>
      <c r="B54" s="33">
        <v>29.1</v>
      </c>
      <c r="C54" s="32">
        <v>29.1</v>
      </c>
      <c r="D54" s="32">
        <v>29.1</v>
      </c>
      <c r="E54" s="32">
        <v>29.1</v>
      </c>
      <c r="F54" s="32">
        <v>34.92</v>
      </c>
      <c r="G54" s="32">
        <v>39.36</v>
      </c>
      <c r="H54" s="9"/>
      <c r="I54" s="9"/>
      <c r="J54" s="9"/>
      <c r="K54" s="9"/>
      <c r="L54" s="9"/>
      <c r="M54" s="9"/>
    </row>
    <row r="55" spans="1:16" ht="15.75" thickBot="1" x14ac:dyDescent="0.3">
      <c r="A55" s="36" t="s">
        <v>18</v>
      </c>
      <c r="B55" s="33">
        <v>56</v>
      </c>
      <c r="C55" s="32">
        <v>58.8</v>
      </c>
      <c r="D55" s="32">
        <v>61.16</v>
      </c>
      <c r="E55" s="32">
        <v>65.44</v>
      </c>
      <c r="F55" s="32">
        <v>69.36</v>
      </c>
      <c r="G55" s="32">
        <v>72.819999999999993</v>
      </c>
      <c r="H55" s="9"/>
      <c r="I55" s="9"/>
      <c r="J55" s="9"/>
      <c r="K55" s="9"/>
      <c r="L55" s="9"/>
      <c r="M55" s="9"/>
    </row>
    <row r="56" spans="1:16" ht="15.75" thickBot="1" x14ac:dyDescent="0.3">
      <c r="A56" s="30" t="s">
        <v>4</v>
      </c>
      <c r="B56" s="29">
        <v>372.44000000000005</v>
      </c>
      <c r="C56" s="29">
        <v>417.74000000000007</v>
      </c>
      <c r="D56" s="29">
        <v>432.6400000000001</v>
      </c>
      <c r="E56" s="29">
        <v>442.64000000000004</v>
      </c>
      <c r="F56" s="29">
        <v>483.50000000000006</v>
      </c>
      <c r="G56" s="29">
        <v>513</v>
      </c>
      <c r="H56" s="35">
        <f>+SUM(H47:H55)</f>
        <v>0</v>
      </c>
      <c r="I56" s="35">
        <f>+SUM(I47:I55)</f>
        <v>0</v>
      </c>
      <c r="J56" s="35">
        <f>+SUM(J47:J55)</f>
        <v>0</v>
      </c>
      <c r="K56" s="35">
        <f>+SUM(K47:K55)</f>
        <v>0</v>
      </c>
      <c r="L56" s="35">
        <f>+SUM(L47:L55)</f>
        <v>0</v>
      </c>
      <c r="M56" s="35">
        <f>+SUM(M47:M55)</f>
        <v>0</v>
      </c>
    </row>
    <row r="57" spans="1:16" ht="15.75" thickBot="1" x14ac:dyDescent="0.3">
      <c r="A57" s="34" t="s">
        <v>17</v>
      </c>
      <c r="B57" s="33">
        <v>60</v>
      </c>
      <c r="C57" s="32">
        <v>73.2</v>
      </c>
      <c r="D57" s="32">
        <v>73.2</v>
      </c>
      <c r="E57" s="32">
        <v>73.2</v>
      </c>
      <c r="F57" s="32">
        <v>84.18</v>
      </c>
      <c r="G57" s="32">
        <v>84.18</v>
      </c>
      <c r="H57" s="9"/>
      <c r="I57" s="9"/>
      <c r="J57" s="9"/>
      <c r="K57" s="9"/>
      <c r="L57" s="9"/>
      <c r="M57" s="9"/>
      <c r="P57" s="31"/>
    </row>
    <row r="58" spans="1:16" ht="15.75" thickBot="1" x14ac:dyDescent="0.3">
      <c r="A58" s="30" t="s">
        <v>2</v>
      </c>
      <c r="B58" s="29">
        <f>+SUM(B56:B57)</f>
        <v>432.44000000000005</v>
      </c>
      <c r="C58" s="28">
        <f>+SUM(C56:C57)</f>
        <v>490.94000000000005</v>
      </c>
      <c r="D58" s="28">
        <f>+SUM(D56:D57)</f>
        <v>505.84000000000009</v>
      </c>
      <c r="E58" s="28">
        <f>+SUM(E56:E57)</f>
        <v>515.84</v>
      </c>
      <c r="F58" s="28">
        <f>+SUM(F56:F57)</f>
        <v>567.68000000000006</v>
      </c>
      <c r="G58" s="28">
        <f>+SUM(G56:G57)</f>
        <v>597.18000000000006</v>
      </c>
      <c r="H58" s="7">
        <f>+SUM(H56:H57)</f>
        <v>0</v>
      </c>
      <c r="I58" s="7">
        <f>+SUM(I56:I57)</f>
        <v>0</v>
      </c>
      <c r="J58" s="7">
        <f>+SUM(J56:J57)</f>
        <v>0</v>
      </c>
      <c r="K58" s="7">
        <f>+SUM(K56:K57)</f>
        <v>0</v>
      </c>
      <c r="L58" s="7">
        <f>+SUM(L56:L57)</f>
        <v>0</v>
      </c>
      <c r="M58" s="7">
        <f>+SUM(M56:M57)</f>
        <v>0</v>
      </c>
      <c r="P58" s="27"/>
    </row>
    <row r="59" spans="1:16" ht="15.75" thickBot="1" x14ac:dyDescent="0.3">
      <c r="A59" s="26" t="s">
        <v>1</v>
      </c>
      <c r="B59" s="25">
        <f>+B58*35.14%</f>
        <v>151.959416</v>
      </c>
      <c r="C59" s="24">
        <f>+C58*35.14%</f>
        <v>172.51631600000002</v>
      </c>
      <c r="D59" s="24">
        <f>+D58*35.14%</f>
        <v>177.75217600000002</v>
      </c>
      <c r="E59" s="24">
        <f>+E58*35.14%</f>
        <v>181.266176</v>
      </c>
      <c r="F59" s="24">
        <f>+F58*35.14%</f>
        <v>199.482752</v>
      </c>
      <c r="G59" s="24">
        <f>+G58*35.14%</f>
        <v>209.84905200000003</v>
      </c>
      <c r="H59" s="5">
        <f>+H58*35.14%</f>
        <v>0</v>
      </c>
      <c r="I59" s="5">
        <f>+I58*35.14%</f>
        <v>0</v>
      </c>
      <c r="J59" s="5">
        <f>+J58*35.14%</f>
        <v>0</v>
      </c>
      <c r="K59" s="5">
        <f>+K58*35.14%</f>
        <v>0</v>
      </c>
      <c r="L59" s="5">
        <f>+L58*35.14%</f>
        <v>0</v>
      </c>
      <c r="M59" s="5">
        <f>+M58*35.14%</f>
        <v>0</v>
      </c>
    </row>
    <row r="60" spans="1:16" ht="15.75" thickBot="1" x14ac:dyDescent="0.3">
      <c r="A60" s="4" t="s">
        <v>0</v>
      </c>
      <c r="B60" s="23">
        <f>+SUM(B58:B59)</f>
        <v>584.39941600000009</v>
      </c>
      <c r="C60" s="23">
        <f>+SUM(C58:C59)</f>
        <v>663.45631600000002</v>
      </c>
      <c r="D60" s="23">
        <f>+SUM(D58:D59)</f>
        <v>683.59217600000011</v>
      </c>
      <c r="E60" s="23">
        <f>+SUM(E58:E59)</f>
        <v>697.106176</v>
      </c>
      <c r="F60" s="23">
        <f>+SUM(F58:F59)</f>
        <v>767.16275200000007</v>
      </c>
      <c r="G60" s="23">
        <f>+SUM(G58:G59)</f>
        <v>807.02905200000009</v>
      </c>
      <c r="H60" s="3">
        <f>+SUM(H58:H59)</f>
        <v>0</v>
      </c>
      <c r="I60" s="3">
        <f>+SUM(I58:I59)</f>
        <v>0</v>
      </c>
      <c r="J60" s="3">
        <f>+SUM(J58:J59)</f>
        <v>0</v>
      </c>
      <c r="K60" s="3">
        <f>+SUM(K58:K59)</f>
        <v>0</v>
      </c>
      <c r="L60" s="3">
        <f>+SUM(L58:L59)</f>
        <v>0</v>
      </c>
      <c r="M60" s="3">
        <f>+SUM(M58:M59)</f>
        <v>0</v>
      </c>
      <c r="N60" s="22" t="s">
        <v>16</v>
      </c>
    </row>
    <row r="61" spans="1:16" ht="15.75" thickBot="1" x14ac:dyDescent="0.3">
      <c r="A61" s="4" t="s">
        <v>15</v>
      </c>
      <c r="B61" s="23"/>
      <c r="C61" s="23"/>
      <c r="D61" s="23"/>
      <c r="E61" s="23"/>
      <c r="F61" s="23"/>
      <c r="G61" s="23"/>
      <c r="H61" s="3">
        <f>G61*(1+$B$3)</f>
        <v>0</v>
      </c>
      <c r="I61" s="3">
        <f>H61*(1+$B$3)</f>
        <v>0</v>
      </c>
      <c r="J61" s="3">
        <f>I61*(1+$B$3)</f>
        <v>0</v>
      </c>
      <c r="K61" s="3">
        <f>J61*(1+$B$3)</f>
        <v>0</v>
      </c>
      <c r="L61" s="3">
        <f>K61*(1+$B$3)</f>
        <v>0</v>
      </c>
      <c r="M61" s="3">
        <f>L61*(1+$B$3)</f>
        <v>0</v>
      </c>
      <c r="N61" s="22"/>
    </row>
    <row r="62" spans="1:16" x14ac:dyDescent="0.25">
      <c r="A62" s="21" t="s">
        <v>14</v>
      </c>
      <c r="B62" s="20"/>
      <c r="C62" s="20"/>
      <c r="D62" s="20"/>
      <c r="E62" s="20"/>
      <c r="F62" s="20"/>
      <c r="G62" s="20"/>
    </row>
    <row r="63" spans="1:16" ht="15.75" thickBot="1" x14ac:dyDescent="0.3"/>
    <row r="64" spans="1:16" ht="16.5" thickBot="1" x14ac:dyDescent="0.3">
      <c r="A64" s="16" t="s">
        <v>13</v>
      </c>
      <c r="B64" s="19">
        <f>+((B60+B61)/$B$5)*100</f>
        <v>466.69814406644309</v>
      </c>
      <c r="C64" s="19">
        <f>+((C60+C61)/$B$5)*100</f>
        <v>529.83254751637116</v>
      </c>
      <c r="D64" s="19">
        <f>+((D60+D61)/$B$5)*100</f>
        <v>545.91293403609654</v>
      </c>
      <c r="E64" s="19">
        <f>+((E60+E61)/$B$5)*100</f>
        <v>556.70513975403287</v>
      </c>
      <c r="F64" s="19">
        <f>+((F60+F61)/$B$5)*100</f>
        <v>612.65193419581544</v>
      </c>
      <c r="G64" s="19">
        <f>+((G60+G61)/$B$5)*100</f>
        <v>644.48894106372791</v>
      </c>
      <c r="H64" s="19">
        <f>+((H60+H61)/$B$5)*100</f>
        <v>0</v>
      </c>
      <c r="I64" s="19">
        <f>+((I60+I61)/$B$5)*100</f>
        <v>0</v>
      </c>
      <c r="J64" s="19">
        <f>+((J60+J61)/$B$5)*100</f>
        <v>0</v>
      </c>
      <c r="K64" s="19">
        <f>+((K60+K61)/$B$5)*100</f>
        <v>0</v>
      </c>
      <c r="L64" s="19">
        <f>+((L60+L61)/$B$5)*100</f>
        <v>0</v>
      </c>
      <c r="M64" s="19">
        <f>+((M60+M61)/$B$5)*100</f>
        <v>0</v>
      </c>
      <c r="N64" s="18">
        <f>+G64</f>
        <v>644.48894106372791</v>
      </c>
      <c r="O64" s="17">
        <f>E60*0.75</f>
        <v>522.82963199999995</v>
      </c>
    </row>
    <row r="65" spans="1:14" ht="15.75" thickBot="1" x14ac:dyDescent="0.3">
      <c r="A65" s="16" t="s">
        <v>12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4">
        <f>SUM(B65:M65)</f>
        <v>0</v>
      </c>
    </row>
    <row r="68" spans="1:14" ht="15.75" thickBot="1" x14ac:dyDescent="0.3">
      <c r="B68" s="13" t="s">
        <v>11</v>
      </c>
      <c r="C68" s="13" t="s">
        <v>10</v>
      </c>
    </row>
    <row r="69" spans="1:14" x14ac:dyDescent="0.25">
      <c r="B69" s="12">
        <v>44713</v>
      </c>
      <c r="C69" s="12">
        <v>44713</v>
      </c>
    </row>
    <row r="70" spans="1:14" x14ac:dyDescent="0.25">
      <c r="A70" s="11" t="s">
        <v>9</v>
      </c>
      <c r="B70" s="11" t="s">
        <v>8</v>
      </c>
      <c r="C70" s="11" t="s">
        <v>8</v>
      </c>
    </row>
    <row r="71" spans="1:14" x14ac:dyDescent="0.25">
      <c r="A71" s="10" t="s">
        <v>7</v>
      </c>
      <c r="B71" s="9">
        <f>G22</f>
        <v>212.44000000000003</v>
      </c>
      <c r="C71" s="9">
        <f>SUM(G47:G48)</f>
        <v>177.86</v>
      </c>
    </row>
    <row r="72" spans="1:14" x14ac:dyDescent="0.25">
      <c r="A72" s="10" t="s">
        <v>6</v>
      </c>
      <c r="B72" s="9">
        <f>SUM(G23:G31)</f>
        <v>269.46000000000004</v>
      </c>
      <c r="C72" s="9">
        <f>SUM(G49:G54)</f>
        <v>262.32</v>
      </c>
    </row>
    <row r="73" spans="1:14" x14ac:dyDescent="0.25">
      <c r="A73" s="10" t="s">
        <v>5</v>
      </c>
      <c r="B73" s="9">
        <v>0</v>
      </c>
      <c r="C73" s="9">
        <f>G55</f>
        <v>72.819999999999993</v>
      </c>
    </row>
    <row r="74" spans="1:14" x14ac:dyDescent="0.25">
      <c r="A74" s="8" t="s">
        <v>4</v>
      </c>
      <c r="B74" s="7">
        <f>+SUM(B71:B73)</f>
        <v>481.90000000000009</v>
      </c>
      <c r="C74" s="7">
        <f>+SUM(C71:C73)</f>
        <v>513</v>
      </c>
    </row>
    <row r="75" spans="1:14" x14ac:dyDescent="0.25">
      <c r="A75" s="10" t="s">
        <v>3</v>
      </c>
      <c r="B75" s="9">
        <f>SUM(G33:G34)</f>
        <v>270.86</v>
      </c>
      <c r="C75" s="9">
        <f>G57</f>
        <v>84.18</v>
      </c>
    </row>
    <row r="76" spans="1:14" x14ac:dyDescent="0.25">
      <c r="A76" s="8" t="s">
        <v>2</v>
      </c>
      <c r="B76" s="7">
        <f>+B75+B74</f>
        <v>752.7600000000001</v>
      </c>
      <c r="C76" s="7">
        <f>+C75+C74</f>
        <v>597.18000000000006</v>
      </c>
      <c r="D76" s="1">
        <f>+B76*0.75</f>
        <v>564.57000000000005</v>
      </c>
    </row>
    <row r="77" spans="1:14" ht="15.75" thickBot="1" x14ac:dyDescent="0.3">
      <c r="A77" s="6" t="s">
        <v>1</v>
      </c>
      <c r="B77" s="5">
        <f>+B76*35.14%</f>
        <v>264.51986400000004</v>
      </c>
      <c r="C77" s="5">
        <f>+C76*35.13%</f>
        <v>209.78933400000003</v>
      </c>
    </row>
    <row r="78" spans="1:14" ht="15.75" thickBot="1" x14ac:dyDescent="0.3">
      <c r="A78" s="4" t="s">
        <v>0</v>
      </c>
      <c r="B78" s="3">
        <f>+B77+B76</f>
        <v>1017.2798640000001</v>
      </c>
      <c r="C78" s="3">
        <f>+C77+C76</f>
        <v>806.96933400000012</v>
      </c>
      <c r="D78" s="2">
        <f>+C78/B78-1</f>
        <v>-0.20673812334498343</v>
      </c>
    </row>
  </sheetData>
  <dataConsolidate/>
  <pageMargins left="0.25" right="0.25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CMQ-Bosque Nativo</vt:lpstr>
      <vt:lpstr>'CMQ-Bosque Nativo'!Área_de_impresión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SupplyDestileria</dc:creator>
  <cp:lastModifiedBy>SupplyDestileria</cp:lastModifiedBy>
  <dcterms:created xsi:type="dcterms:W3CDTF">2022-07-20T17:57:00Z</dcterms:created>
  <dcterms:modified xsi:type="dcterms:W3CDTF">2022-07-20T17:58:11Z</dcterms:modified>
</cp:coreProperties>
</file>