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"/>
    </mc:Choice>
  </mc:AlternateContent>
  <xr:revisionPtr revIDLastSave="0" documentId="13_ncr:1_{84C73F73-051C-4323-82AE-170BCBD498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STEO BENJA DIC2022" sheetId="4" r:id="rId1"/>
    <sheet name="COSTEO VINO GRANEL" sheetId="1" r:id="rId2"/>
    <sheet name="COSTEO BENJA - DANTE ROBINO" sheetId="2" r:id="rId3"/>
    <sheet name="CMV ON PREMISE" sheetId="3" r:id="rId4"/>
  </sheets>
  <definedNames>
    <definedName name="_xlnm.Print_Area" localSheetId="1">'COSTEO VINO GRANEL'!$A$1:$S$40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gMLfoeWLw5aC1JdBFy46L2CjM7vg=="/>
    </ext>
  </extLst>
</workbook>
</file>

<file path=xl/calcChain.xml><?xml version="1.0" encoding="utf-8"?>
<calcChain xmlns="http://schemas.openxmlformats.org/spreadsheetml/2006/main">
  <c r="F6" i="4" l="1"/>
  <c r="G6" i="4" s="1"/>
  <c r="F20" i="4"/>
  <c r="D20" i="4"/>
  <c r="G22" i="4"/>
  <c r="F22" i="4"/>
  <c r="G20" i="4"/>
  <c r="G19" i="4"/>
  <c r="F19" i="4"/>
  <c r="G18" i="4"/>
  <c r="F18" i="4"/>
  <c r="G17" i="4"/>
  <c r="F17" i="4"/>
  <c r="G16" i="4"/>
  <c r="F16" i="4"/>
  <c r="D15" i="4"/>
  <c r="F15" i="4" s="1"/>
  <c r="G15" i="4" s="1"/>
  <c r="D14" i="4"/>
  <c r="F14" i="4" s="1"/>
  <c r="G14" i="4" s="1"/>
  <c r="D13" i="4"/>
  <c r="F13" i="4" s="1"/>
  <c r="G13" i="4" s="1"/>
  <c r="D12" i="4"/>
  <c r="F12" i="4" s="1"/>
  <c r="G12" i="4" s="1"/>
  <c r="D11" i="4"/>
  <c r="F11" i="4" s="1"/>
  <c r="G11" i="4" s="1"/>
  <c r="D10" i="4"/>
  <c r="F10" i="4" s="1"/>
  <c r="G10" i="4" s="1"/>
  <c r="D9" i="4"/>
  <c r="F9" i="4" s="1"/>
  <c r="G9" i="4" s="1"/>
  <c r="F8" i="4"/>
  <c r="G8" i="4" s="1"/>
  <c r="D8" i="4"/>
  <c r="F7" i="4"/>
  <c r="G7" i="4" s="1"/>
  <c r="D7" i="4"/>
  <c r="D6" i="4"/>
  <c r="G5" i="4"/>
  <c r="F5" i="4"/>
  <c r="D5" i="4"/>
  <c r="D4" i="4"/>
  <c r="F4" i="4" s="1"/>
  <c r="G4" i="4" s="1"/>
  <c r="B22" i="3"/>
  <c r="D22" i="3" s="1"/>
  <c r="D21" i="3"/>
  <c r="B20" i="3"/>
  <c r="D20" i="3" s="1"/>
  <c r="B19" i="3"/>
  <c r="D19" i="3" s="1"/>
  <c r="D24" i="3" s="1"/>
  <c r="D28" i="3" s="1"/>
  <c r="D6" i="3"/>
  <c r="B6" i="3"/>
  <c r="D5" i="3"/>
  <c r="B4" i="3"/>
  <c r="D4" i="3" s="1"/>
  <c r="B3" i="3"/>
  <c r="D3" i="3" s="1"/>
  <c r="G23" i="2"/>
  <c r="F23" i="2"/>
  <c r="G21" i="2"/>
  <c r="E21" i="2"/>
  <c r="F21" i="2" s="1"/>
  <c r="G20" i="2"/>
  <c r="F20" i="2"/>
  <c r="G19" i="2"/>
  <c r="F19" i="2"/>
  <c r="G18" i="2"/>
  <c r="F18" i="2"/>
  <c r="I17" i="2"/>
  <c r="G17" i="2"/>
  <c r="F17" i="2"/>
  <c r="D16" i="2"/>
  <c r="F16" i="2" s="1"/>
  <c r="G16" i="2" s="1"/>
  <c r="G15" i="2"/>
  <c r="F15" i="2"/>
  <c r="D15" i="2"/>
  <c r="F14" i="2"/>
  <c r="G14" i="2" s="1"/>
  <c r="D14" i="2"/>
  <c r="G13" i="2"/>
  <c r="F13" i="2"/>
  <c r="D13" i="2"/>
  <c r="F12" i="2"/>
  <c r="G12" i="2" s="1"/>
  <c r="D12" i="2"/>
  <c r="G11" i="2"/>
  <c r="F11" i="2"/>
  <c r="D11" i="2"/>
  <c r="F10" i="2"/>
  <c r="G10" i="2" s="1"/>
  <c r="D10" i="2"/>
  <c r="G9" i="2"/>
  <c r="F9" i="2"/>
  <c r="D9" i="2"/>
  <c r="E8" i="2"/>
  <c r="D8" i="2"/>
  <c r="F8" i="2" s="1"/>
  <c r="G8" i="2" s="1"/>
  <c r="E7" i="2"/>
  <c r="F7" i="2" s="1"/>
  <c r="G7" i="2" s="1"/>
  <c r="D7" i="2"/>
  <c r="E6" i="2"/>
  <c r="F6" i="2" s="1"/>
  <c r="G6" i="2" s="1"/>
  <c r="D6" i="2"/>
  <c r="D5" i="2"/>
  <c r="F5" i="2" s="1"/>
  <c r="G5" i="2" s="1"/>
  <c r="G4" i="2"/>
  <c r="F4" i="2"/>
  <c r="D4" i="2"/>
  <c r="O23" i="1"/>
  <c r="Q23" i="1" s="1"/>
  <c r="Q22" i="1"/>
  <c r="S22" i="1" s="1"/>
  <c r="P22" i="1"/>
  <c r="I22" i="1"/>
  <c r="G22" i="1"/>
  <c r="F22" i="1"/>
  <c r="Q20" i="1"/>
  <c r="P20" i="1"/>
  <c r="G20" i="1"/>
  <c r="F20" i="1"/>
  <c r="E20" i="1"/>
  <c r="Q19" i="1"/>
  <c r="P19" i="1"/>
  <c r="G19" i="1"/>
  <c r="F19" i="1"/>
  <c r="Q18" i="1"/>
  <c r="P18" i="1"/>
  <c r="G18" i="1"/>
  <c r="F18" i="1"/>
  <c r="Q17" i="1"/>
  <c r="P17" i="1"/>
  <c r="G17" i="1"/>
  <c r="F17" i="1"/>
  <c r="S16" i="1"/>
  <c r="Q16" i="1"/>
  <c r="P16" i="1"/>
  <c r="I16" i="1"/>
  <c r="G16" i="1"/>
  <c r="F16" i="1"/>
  <c r="Q15" i="1"/>
  <c r="P15" i="1"/>
  <c r="N15" i="1"/>
  <c r="D15" i="1"/>
  <c r="F15" i="1" s="1"/>
  <c r="G15" i="1" s="1"/>
  <c r="Q14" i="1"/>
  <c r="P14" i="1"/>
  <c r="N14" i="1"/>
  <c r="D14" i="1"/>
  <c r="F14" i="1" s="1"/>
  <c r="G14" i="1" s="1"/>
  <c r="Q13" i="1"/>
  <c r="P13" i="1"/>
  <c r="N13" i="1"/>
  <c r="D13" i="1"/>
  <c r="F13" i="1" s="1"/>
  <c r="G13" i="1" s="1"/>
  <c r="Q12" i="1"/>
  <c r="P12" i="1"/>
  <c r="N12" i="1"/>
  <c r="D12" i="1"/>
  <c r="F12" i="1" s="1"/>
  <c r="G12" i="1" s="1"/>
  <c r="Q11" i="1"/>
  <c r="P11" i="1"/>
  <c r="N11" i="1"/>
  <c r="D11" i="1"/>
  <c r="F11" i="1" s="1"/>
  <c r="G11" i="1" s="1"/>
  <c r="Q10" i="1"/>
  <c r="P10" i="1"/>
  <c r="N10" i="1"/>
  <c r="D10" i="1"/>
  <c r="F10" i="1" s="1"/>
  <c r="G10" i="1" s="1"/>
  <c r="Q9" i="1"/>
  <c r="P9" i="1"/>
  <c r="N9" i="1"/>
  <c r="D9" i="1"/>
  <c r="F9" i="1" s="1"/>
  <c r="G9" i="1" s="1"/>
  <c r="O8" i="1"/>
  <c r="N8" i="1"/>
  <c r="P8" i="1" s="1"/>
  <c r="Q8" i="1" s="1"/>
  <c r="E8" i="1"/>
  <c r="F8" i="1" s="1"/>
  <c r="G8" i="1" s="1"/>
  <c r="D8" i="1"/>
  <c r="P7" i="1"/>
  <c r="Q7" i="1" s="1"/>
  <c r="O7" i="1"/>
  <c r="N7" i="1"/>
  <c r="F7" i="1"/>
  <c r="G7" i="1" s="1"/>
  <c r="E7" i="1"/>
  <c r="D7" i="1"/>
  <c r="O6" i="1"/>
  <c r="P6" i="1" s="1"/>
  <c r="Q6" i="1" s="1"/>
  <c r="N6" i="1"/>
  <c r="E6" i="1"/>
  <c r="F6" i="1" s="1"/>
  <c r="G6" i="1" s="1"/>
  <c r="D6" i="1"/>
  <c r="N5" i="1"/>
  <c r="P5" i="1" s="1"/>
  <c r="Q5" i="1" s="1"/>
  <c r="F5" i="1"/>
  <c r="G5" i="1" s="1"/>
  <c r="D5" i="1"/>
  <c r="P4" i="1"/>
  <c r="Q4" i="1" s="1"/>
  <c r="N4" i="1"/>
  <c r="D4" i="1"/>
  <c r="F4" i="1" s="1"/>
  <c r="G4" i="1" s="1"/>
  <c r="G21" i="4" l="1"/>
  <c r="G24" i="4" s="1"/>
  <c r="H16" i="4" s="1"/>
  <c r="I4" i="4"/>
  <c r="I16" i="4"/>
  <c r="I22" i="4"/>
  <c r="I4" i="1"/>
  <c r="I26" i="1" s="1"/>
  <c r="G21" i="1"/>
  <c r="G24" i="1" s="1"/>
  <c r="H19" i="1" s="1"/>
  <c r="H22" i="1"/>
  <c r="R8" i="1"/>
  <c r="R10" i="1"/>
  <c r="R12" i="1"/>
  <c r="R19" i="1"/>
  <c r="H9" i="2"/>
  <c r="H20" i="1"/>
  <c r="R23" i="1"/>
  <c r="S23" i="1"/>
  <c r="H14" i="1"/>
  <c r="Q21" i="1"/>
  <c r="Q24" i="1" s="1"/>
  <c r="R6" i="1" s="1"/>
  <c r="R4" i="1"/>
  <c r="S4" i="1"/>
  <c r="S26" i="1" s="1"/>
  <c r="H7" i="1"/>
  <c r="H11" i="1"/>
  <c r="R5" i="1"/>
  <c r="H12" i="1"/>
  <c r="H8" i="1"/>
  <c r="H5" i="1"/>
  <c r="H15" i="1"/>
  <c r="R20" i="1"/>
  <c r="H10" i="1"/>
  <c r="H6" i="1"/>
  <c r="R7" i="1"/>
  <c r="R13" i="1"/>
  <c r="R15" i="1"/>
  <c r="H17" i="1"/>
  <c r="I4" i="2"/>
  <c r="I26" i="2" s="1"/>
  <c r="D8" i="3"/>
  <c r="D12" i="3" s="1"/>
  <c r="R22" i="1"/>
  <c r="I23" i="2"/>
  <c r="P23" i="1"/>
  <c r="G22" i="2"/>
  <c r="G24" i="2" s="1"/>
  <c r="H10" i="2" s="1"/>
  <c r="H8" i="4" l="1"/>
  <c r="I26" i="4"/>
  <c r="H15" i="4"/>
  <c r="H4" i="4"/>
  <c r="H14" i="4"/>
  <c r="H7" i="4"/>
  <c r="H22" i="4"/>
  <c r="H13" i="4"/>
  <c r="H18" i="4"/>
  <c r="H10" i="4"/>
  <c r="H11" i="4"/>
  <c r="H12" i="4"/>
  <c r="H5" i="4"/>
  <c r="H9" i="4"/>
  <c r="H6" i="4"/>
  <c r="H20" i="4"/>
  <c r="H19" i="4"/>
  <c r="H17" i="4"/>
  <c r="H21" i="2"/>
  <c r="H16" i="2"/>
  <c r="H7" i="2"/>
  <c r="H15" i="2"/>
  <c r="H12" i="2"/>
  <c r="H6" i="2"/>
  <c r="H20" i="2"/>
  <c r="H5" i="2"/>
  <c r="S30" i="1"/>
  <c r="S34" i="1" s="1"/>
  <c r="S32" i="1"/>
  <c r="H13" i="2"/>
  <c r="I32" i="2"/>
  <c r="I30" i="2"/>
  <c r="R16" i="1"/>
  <c r="R17" i="1"/>
  <c r="R18" i="1"/>
  <c r="H13" i="1"/>
  <c r="H18" i="1"/>
  <c r="N27" i="1"/>
  <c r="I30" i="1"/>
  <c r="N26" i="1"/>
  <c r="I32" i="1"/>
  <c r="H19" i="2"/>
  <c r="H17" i="2"/>
  <c r="H4" i="2"/>
  <c r="H23" i="2"/>
  <c r="R11" i="1"/>
  <c r="H18" i="2"/>
  <c r="H14" i="2"/>
  <c r="R9" i="1"/>
  <c r="H11" i="2"/>
  <c r="H8" i="2"/>
  <c r="H16" i="1"/>
  <c r="H9" i="1"/>
  <c r="R14" i="1"/>
  <c r="H4" i="1"/>
  <c r="I32" i="4" l="1"/>
  <c r="I30" i="4"/>
  <c r="I34" i="2"/>
  <c r="I34" i="1"/>
  <c r="I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D2462E5C-6604-4D62-9B10-29C1C11DC76D}">
      <text>
        <r>
          <rPr>
            <sz val="12"/>
            <color theme="1"/>
            <rFont val="Calibri"/>
            <scheme val="minor"/>
          </rPr>
          <t>======
ID#AAAAS8xrlqQ
Don Bruno    (2021-12-14 22:58:39)
=E4/C4*D4</t>
        </r>
      </text>
    </comment>
    <comment ref="E9" authorId="0" shapeId="0" xr:uid="{72F7156A-9975-48A2-A06F-57DC576375DC}">
      <text>
        <r>
          <rPr>
            <sz val="12"/>
            <color theme="1"/>
            <rFont val="Calibri"/>
            <scheme val="minor"/>
          </rPr>
          <t>======
ID#AAAAS8xrlqU
Don Bruno    (2021-12-14 22:58:39)
$100 compra un bar en packs de 12 paquetes de kilo.  Se debería mejorar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ID#AAAAS8xrlqQ
Don Bruno    (2021-12-14 22:58:39)
=E4/C4*D4</t>
        </r>
      </text>
    </comment>
    <comment ref="E9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ID#AAAAS8xrlqU
Don Bruno    (2021-12-14 22:58:39)
$100 compra un bar en packs de 12 paquetes de kilo.  Se debería mejorar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5El2izYTuasDot/2KUYhTACvWUw=="/>
    </ext>
  </extLst>
</comments>
</file>

<file path=xl/sharedStrings.xml><?xml version="1.0" encoding="utf-8"?>
<sst xmlns="http://schemas.openxmlformats.org/spreadsheetml/2006/main" count="185" uniqueCount="69">
  <si>
    <t>RECETA FERIADO</t>
  </si>
  <si>
    <t>BENJA</t>
  </si>
  <si>
    <t>LOTE</t>
  </si>
  <si>
    <t>121 LITROS</t>
  </si>
  <si>
    <t>DELLEPIANE</t>
  </si>
  <si>
    <t>Cod</t>
  </si>
  <si>
    <t>Insumo</t>
  </si>
  <si>
    <t>Presentación</t>
  </si>
  <si>
    <t>Cant (Ml-Gr-Un.)</t>
  </si>
  <si>
    <t>Costo Ins</t>
  </si>
  <si>
    <t>Costo Lote</t>
  </si>
  <si>
    <t>Costo Bot. 750</t>
  </si>
  <si>
    <t>%</t>
  </si>
  <si>
    <t>Subtotal</t>
  </si>
  <si>
    <t>Alcohol</t>
  </si>
  <si>
    <t>Agua de ósmosis</t>
  </si>
  <si>
    <t>Vino Malbec</t>
  </si>
  <si>
    <t>Vino Chardonay</t>
  </si>
  <si>
    <t xml:space="preserve">Vino Torrontés </t>
  </si>
  <si>
    <t>Azúcar invertida</t>
  </si>
  <si>
    <t>Ajenjo</t>
  </si>
  <si>
    <t>Quina</t>
  </si>
  <si>
    <t>Canela</t>
  </si>
  <si>
    <t>Cardamomo</t>
  </si>
  <si>
    <t>Jenjibre fresco</t>
  </si>
  <si>
    <t>Pomelo fruta</t>
  </si>
  <si>
    <t>Tapa</t>
  </si>
  <si>
    <t>Etiqueta</t>
  </si>
  <si>
    <t>Botella</t>
  </si>
  <si>
    <t>Precinto</t>
  </si>
  <si>
    <t>Caja</t>
  </si>
  <si>
    <t>CMV</t>
  </si>
  <si>
    <t>Fee Producción</t>
  </si>
  <si>
    <t>Mano obra + Fason</t>
  </si>
  <si>
    <t>Flete insumos + complementos</t>
  </si>
  <si>
    <t>Costo Total</t>
  </si>
  <si>
    <t>Costos Neto</t>
  </si>
  <si>
    <t>VARIACION %</t>
  </si>
  <si>
    <t>VARIACION $</t>
  </si>
  <si>
    <t>Internos</t>
  </si>
  <si>
    <t>Total Neto</t>
  </si>
  <si>
    <t>Iva</t>
  </si>
  <si>
    <t>Total Neto + iva</t>
  </si>
  <si>
    <t>90 mas que rider x insumo vino</t>
  </si>
  <si>
    <t>ver bajar $60 fason y compensar</t>
  </si>
  <si>
    <t>de 140 rider a 80</t>
  </si>
  <si>
    <t>rider alto x competencia a Brunetts</t>
  </si>
  <si>
    <t>105 LITROS - 140 botellas</t>
  </si>
  <si>
    <t>Vino Torrontés Tardío</t>
  </si>
  <si>
    <t>Azúcar</t>
  </si>
  <si>
    <t>Flor de Azahar</t>
  </si>
  <si>
    <t>Pomelo</t>
  </si>
  <si>
    <t>Tapón</t>
  </si>
  <si>
    <t>Fee Producción (sin etiquetado)</t>
  </si>
  <si>
    <t>más $75 x botella x fletes a Cordoba</t>
  </si>
  <si>
    <t>$ KILO/LITRO</t>
  </si>
  <si>
    <t>ML/GR</t>
  </si>
  <si>
    <t>$$$</t>
  </si>
  <si>
    <t>FERIADO</t>
  </si>
  <si>
    <t>SODA</t>
  </si>
  <si>
    <t>NARANJA</t>
  </si>
  <si>
    <t>HIELO</t>
  </si>
  <si>
    <t>TOTAL COSTO</t>
  </si>
  <si>
    <t>PRECIO VENTA</t>
  </si>
  <si>
    <t>idem gin tonic</t>
  </si>
  <si>
    <t>gin tonic está en 22,5% cmv.  tonic real en 25,5%</t>
  </si>
  <si>
    <t>CMV Rebe al precio que vende</t>
  </si>
  <si>
    <t>contra 192,53 del costo con La Fuerza</t>
  </si>
  <si>
    <t xml:space="preserve"> contra 31% que le queda hoy con La Fuerza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</si>
</sst>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.00;[Red]\-&quot;$&quot;#,##0.00"/>
    <numFmt numFmtId="165" formatCode="[$ $]#,##0.00"/>
    <numFmt numFmtId="166" formatCode="[$$]#,##0.00"/>
    <numFmt numFmtId="167" formatCode="0.000"/>
  </numFmts>
  <fonts count="23" x14ac:knownFonts="1">
    <font>
      <sz val="12"/>
      <color theme="1"/>
      <name val="Calibri"/>
      <scheme val="minor"/>
    </font>
    <font>
      <sz val="9"/>
      <color theme="1"/>
      <name val="Calibri"/>
      <scheme val="minor"/>
    </font>
    <font>
      <b/>
      <sz val="9"/>
      <color rgb="FFF43AEF"/>
      <name val="Calibri"/>
      <scheme val="minor"/>
    </font>
    <font>
      <b/>
      <sz val="14"/>
      <color rgb="FFFFFF00"/>
      <name val="Calibri"/>
      <scheme val="minor"/>
    </font>
    <font>
      <i/>
      <sz val="9"/>
      <color theme="1"/>
      <name val="Calibri"/>
      <scheme val="minor"/>
    </font>
    <font>
      <i/>
      <sz val="9"/>
      <color rgb="FF000000"/>
      <name val="Calibri"/>
      <scheme val="minor"/>
    </font>
    <font>
      <b/>
      <sz val="9"/>
      <color rgb="FF000000"/>
      <name val="Calibri"/>
      <scheme val="minor"/>
    </font>
    <font>
      <sz val="12"/>
      <name val="Calibri"/>
    </font>
    <font>
      <b/>
      <sz val="9"/>
      <color theme="1"/>
      <name val="Calibri"/>
      <scheme val="minor"/>
    </font>
    <font>
      <sz val="9"/>
      <color rgb="FFF43AEF"/>
      <name val="Calibri"/>
      <scheme val="minor"/>
    </font>
    <font>
      <sz val="11"/>
      <color theme="1"/>
      <name val="Calibri"/>
      <scheme val="minor"/>
    </font>
    <font>
      <b/>
      <sz val="16"/>
      <color rgb="FFF43AEF"/>
      <name val="Calibri"/>
      <scheme val="minor"/>
    </font>
    <font>
      <b/>
      <sz val="11"/>
      <color rgb="FFF43AEF"/>
      <name val="Calibri"/>
      <scheme val="minor"/>
    </font>
    <font>
      <b/>
      <sz val="12"/>
      <color rgb="FFF43AEF"/>
      <name val="Calibri"/>
      <scheme val="minor"/>
    </font>
    <font>
      <i/>
      <sz val="11"/>
      <color theme="1"/>
      <name val="Calibri"/>
      <scheme val="minor"/>
    </font>
    <font>
      <i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b/>
      <sz val="11"/>
      <color rgb="FF000000"/>
      <name val="Calibri"/>
      <scheme val="minor"/>
    </font>
    <font>
      <sz val="8"/>
      <color theme="1"/>
      <name val="Calibri"/>
      <scheme val="minor"/>
    </font>
    <font>
      <sz val="12"/>
      <color rgb="FFF43AEF"/>
      <name val="Calibri"/>
      <scheme val="minor"/>
    </font>
    <font>
      <sz val="11"/>
      <color rgb="FF000000"/>
      <name val="Inconsolata"/>
    </font>
    <font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3AEF"/>
        <bgColor rgb="FFF43AE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6" fontId="8" fillId="2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5" fillId="2" borderId="13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0" fontId="1" fillId="0" borderId="3" xfId="0" applyFont="1" applyBorder="1"/>
    <xf numFmtId="0" fontId="2" fillId="2" borderId="3" xfId="0" applyFont="1" applyFill="1" applyBorder="1"/>
    <xf numFmtId="0" fontId="9" fillId="2" borderId="15" xfId="0" applyFont="1" applyFill="1" applyBorder="1"/>
    <xf numFmtId="164" fontId="2" fillId="2" borderId="2" xfId="0" applyNumberFormat="1" applyFont="1" applyFill="1" applyBorder="1" applyAlignment="1">
      <alignment horizontal="center"/>
    </xf>
    <xf numFmtId="0" fontId="1" fillId="2" borderId="0" xfId="0" applyFont="1" applyFill="1"/>
    <xf numFmtId="10" fontId="1" fillId="2" borderId="0" xfId="0" applyNumberFormat="1" applyFont="1" applyFill="1"/>
    <xf numFmtId="0" fontId="8" fillId="0" borderId="3" xfId="0" applyFont="1" applyBorder="1"/>
    <xf numFmtId="164" fontId="1" fillId="2" borderId="0" xfId="0" applyNumberFormat="1" applyFont="1" applyFill="1"/>
    <xf numFmtId="0" fontId="1" fillId="0" borderId="4" xfId="0" applyFont="1" applyBorder="1"/>
    <xf numFmtId="0" fontId="1" fillId="0" borderId="10" xfId="0" applyFont="1" applyBorder="1"/>
    <xf numFmtId="0" fontId="8" fillId="5" borderId="0" xfId="0" applyFont="1" applyFill="1"/>
    <xf numFmtId="0" fontId="10" fillId="0" borderId="0" xfId="0" applyFont="1"/>
    <xf numFmtId="0" fontId="11" fillId="2" borderId="1" xfId="0" applyFont="1" applyFill="1" applyBorder="1"/>
    <xf numFmtId="0" fontId="11" fillId="2" borderId="2" xfId="0" applyFont="1" applyFill="1" applyBorder="1"/>
    <xf numFmtId="0" fontId="12" fillId="2" borderId="3" xfId="0" applyFont="1" applyFill="1" applyBorder="1"/>
    <xf numFmtId="0" fontId="12" fillId="2" borderId="3" xfId="0" applyFont="1" applyFill="1" applyBorder="1" applyAlignment="1">
      <alignment horizontal="right"/>
    </xf>
    <xf numFmtId="0" fontId="13" fillId="2" borderId="3" xfId="0" applyFont="1" applyFill="1" applyBorder="1"/>
    <xf numFmtId="0" fontId="13" fillId="2" borderId="3" xfId="0" applyFont="1" applyFill="1" applyBorder="1" applyAlignment="1">
      <alignment horizontal="center"/>
    </xf>
    <xf numFmtId="0" fontId="14" fillId="0" borderId="4" xfId="0" applyFont="1" applyBorder="1"/>
    <xf numFmtId="0" fontId="14" fillId="0" borderId="5" xfId="0" applyFont="1" applyBorder="1"/>
    <xf numFmtId="3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64" fontId="15" fillId="0" borderId="3" xfId="0" applyNumberFormat="1" applyFont="1" applyBorder="1"/>
    <xf numFmtId="10" fontId="14" fillId="0" borderId="8" xfId="0" applyNumberFormat="1" applyFont="1" applyBorder="1"/>
    <xf numFmtId="0" fontId="14" fillId="0" borderId="9" xfId="0" applyFont="1" applyBorder="1"/>
    <xf numFmtId="3" fontId="14" fillId="0" borderId="4" xfId="0" applyNumberFormat="1" applyFont="1" applyBorder="1"/>
    <xf numFmtId="0" fontId="14" fillId="0" borderId="0" xfId="0" applyFont="1"/>
    <xf numFmtId="164" fontId="14" fillId="0" borderId="0" xfId="0" applyNumberFormat="1" applyFont="1"/>
    <xf numFmtId="10" fontId="14" fillId="0" borderId="10" xfId="0" applyNumberFormat="1" applyFont="1" applyBorder="1"/>
    <xf numFmtId="0" fontId="14" fillId="0" borderId="11" xfId="0" applyFont="1" applyBorder="1"/>
    <xf numFmtId="3" fontId="14" fillId="0" borderId="12" xfId="0" applyNumberFormat="1" applyFont="1" applyBorder="1"/>
    <xf numFmtId="0" fontId="14" fillId="0" borderId="13" xfId="0" applyFont="1" applyBorder="1"/>
    <xf numFmtId="164" fontId="14" fillId="0" borderId="13" xfId="0" applyNumberFormat="1" applyFont="1" applyBorder="1"/>
    <xf numFmtId="10" fontId="14" fillId="0" borderId="14" xfId="0" applyNumberFormat="1" applyFont="1" applyBorder="1"/>
    <xf numFmtId="0" fontId="14" fillId="0" borderId="6" xfId="0" applyFont="1" applyBorder="1"/>
    <xf numFmtId="165" fontId="15" fillId="0" borderId="7" xfId="0" applyNumberFormat="1" applyFont="1" applyBorder="1"/>
    <xf numFmtId="165" fontId="15" fillId="0" borderId="3" xfId="0" applyNumberFormat="1" applyFont="1" applyBorder="1"/>
    <xf numFmtId="165" fontId="15" fillId="0" borderId="0" xfId="0" applyNumberFormat="1" applyFont="1"/>
    <xf numFmtId="0" fontId="14" fillId="0" borderId="12" xfId="0" applyFont="1" applyBorder="1"/>
    <xf numFmtId="165" fontId="15" fillId="0" borderId="13" xfId="0" applyNumberFormat="1" applyFont="1" applyBorder="1"/>
    <xf numFmtId="0" fontId="17" fillId="4" borderId="1" xfId="0" applyFont="1" applyFill="1" applyBorder="1"/>
    <xf numFmtId="0" fontId="10" fillId="4" borderId="15" xfId="0" applyFont="1" applyFill="1" applyBorder="1"/>
    <xf numFmtId="164" fontId="16" fillId="4" borderId="2" xfId="0" applyNumberFormat="1" applyFont="1" applyFill="1" applyBorder="1"/>
    <xf numFmtId="10" fontId="14" fillId="0" borderId="0" xfId="0" applyNumberFormat="1" applyFont="1"/>
    <xf numFmtId="0" fontId="0" fillId="0" borderId="5" xfId="0" applyBorder="1" applyAlignment="1">
      <alignment horizontal="center"/>
    </xf>
    <xf numFmtId="0" fontId="18" fillId="0" borderId="4" xfId="0" applyFont="1" applyBorder="1"/>
    <xf numFmtId="0" fontId="14" fillId="0" borderId="3" xfId="0" applyFont="1" applyBorder="1"/>
    <xf numFmtId="0" fontId="14" fillId="0" borderId="16" xfId="0" applyFont="1" applyBorder="1"/>
    <xf numFmtId="164" fontId="14" fillId="0" borderId="16" xfId="0" applyNumberFormat="1" applyFont="1" applyBorder="1"/>
    <xf numFmtId="164" fontId="15" fillId="0" borderId="16" xfId="0" applyNumberFormat="1" applyFont="1" applyBorder="1"/>
    <xf numFmtId="10" fontId="14" fillId="0" borderId="16" xfId="0" applyNumberFormat="1" applyFont="1" applyBorder="1"/>
    <xf numFmtId="164" fontId="17" fillId="4" borderId="3" xfId="0" applyNumberFormat="1" applyFont="1" applyFill="1" applyBorder="1" applyAlignment="1">
      <alignment horizontal="center"/>
    </xf>
    <xf numFmtId="0" fontId="10" fillId="0" borderId="12" xfId="0" applyFont="1" applyBorder="1"/>
    <xf numFmtId="0" fontId="17" fillId="0" borderId="17" xfId="0" applyFont="1" applyBorder="1"/>
    <xf numFmtId="0" fontId="10" fillId="0" borderId="16" xfId="0" applyFont="1" applyBorder="1"/>
    <xf numFmtId="164" fontId="16" fillId="0" borderId="18" xfId="0" applyNumberFormat="1" applyFont="1" applyBorder="1"/>
    <xf numFmtId="0" fontId="10" fillId="0" borderId="11" xfId="0" applyFont="1" applyBorder="1"/>
    <xf numFmtId="0" fontId="19" fillId="0" borderId="0" xfId="0" applyFont="1"/>
    <xf numFmtId="0" fontId="10" fillId="0" borderId="3" xfId="0" applyFont="1" applyBorder="1"/>
    <xf numFmtId="0" fontId="20" fillId="2" borderId="15" xfId="0" applyFont="1" applyFill="1" applyBorder="1"/>
    <xf numFmtId="164" fontId="13" fillId="2" borderId="2" xfId="0" applyNumberFormat="1" applyFont="1" applyFill="1" applyBorder="1" applyAlignment="1">
      <alignment horizontal="center"/>
    </xf>
    <xf numFmtId="0" fontId="17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10" xfId="0" applyBorder="1"/>
    <xf numFmtId="0" fontId="21" fillId="6" borderId="0" xfId="0" applyFont="1" applyFill="1"/>
    <xf numFmtId="0" fontId="21" fillId="7" borderId="0" xfId="0" applyFont="1" applyFill="1"/>
    <xf numFmtId="0" fontId="22" fillId="0" borderId="0" xfId="0" applyFont="1" applyAlignment="1">
      <alignment horizontal="center"/>
    </xf>
    <xf numFmtId="0" fontId="22" fillId="8" borderId="3" xfId="0" applyFont="1" applyFill="1" applyBorder="1" applyAlignment="1">
      <alignment horizontal="center"/>
    </xf>
    <xf numFmtId="0" fontId="22" fillId="9" borderId="3" xfId="0" applyFont="1" applyFill="1" applyBorder="1" applyAlignment="1">
      <alignment horizontal="center"/>
    </xf>
    <xf numFmtId="2" fontId="22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65" fontId="22" fillId="0" borderId="3" xfId="0" applyNumberFormat="1" applyFont="1" applyBorder="1" applyAlignment="1">
      <alignment horizontal="center"/>
    </xf>
    <xf numFmtId="167" fontId="22" fillId="0" borderId="3" xfId="0" applyNumberFormat="1" applyFont="1" applyBorder="1" applyAlignment="1">
      <alignment horizontal="center"/>
    </xf>
    <xf numFmtId="0" fontId="22" fillId="10" borderId="17" xfId="0" applyFont="1" applyFill="1" applyBorder="1" applyAlignment="1">
      <alignment horizontal="center"/>
    </xf>
    <xf numFmtId="2" fontId="22" fillId="10" borderId="18" xfId="0" applyNumberFormat="1" applyFont="1" applyFill="1" applyBorder="1" applyAlignment="1">
      <alignment horizontal="center"/>
    </xf>
    <xf numFmtId="0" fontId="22" fillId="11" borderId="17" xfId="0" applyFont="1" applyFill="1" applyBorder="1" applyAlignment="1">
      <alignment horizontal="center"/>
    </xf>
    <xf numFmtId="165" fontId="22" fillId="11" borderId="18" xfId="0" applyNumberFormat="1" applyFont="1" applyFill="1" applyBorder="1" applyAlignment="1">
      <alignment horizontal="center"/>
    </xf>
    <xf numFmtId="0" fontId="22" fillId="12" borderId="0" xfId="0" applyFont="1" applyFill="1"/>
    <xf numFmtId="10" fontId="22" fillId="11" borderId="18" xfId="0" applyNumberFormat="1" applyFont="1" applyFill="1" applyBorder="1" applyAlignment="1">
      <alignment horizontal="center"/>
    </xf>
    <xf numFmtId="165" fontId="22" fillId="0" borderId="0" xfId="0" applyNumberFormat="1" applyFont="1"/>
    <xf numFmtId="0" fontId="22" fillId="13" borderId="0" xfId="0" applyFont="1" applyFill="1"/>
    <xf numFmtId="0" fontId="22" fillId="0" borderId="17" xfId="0" applyFont="1" applyBorder="1" applyAlignment="1">
      <alignment horizontal="center"/>
    </xf>
    <xf numFmtId="2" fontId="22" fillId="0" borderId="18" xfId="0" applyNumberFormat="1" applyFont="1" applyBorder="1" applyAlignment="1">
      <alignment horizontal="center"/>
    </xf>
    <xf numFmtId="0" fontId="22" fillId="10" borderId="0" xfId="0" applyFont="1" applyFill="1"/>
    <xf numFmtId="165" fontId="22" fillId="0" borderId="18" xfId="0" applyNumberFormat="1" applyFont="1" applyBorder="1" applyAlignment="1">
      <alignment horizontal="center"/>
    </xf>
    <xf numFmtId="10" fontId="22" fillId="13" borderId="18" xfId="0" applyNumberFormat="1" applyFont="1" applyFill="1" applyBorder="1" applyAlignment="1">
      <alignment horizontal="center"/>
    </xf>
    <xf numFmtId="0" fontId="22" fillId="14" borderId="0" xfId="0" applyFont="1" applyFill="1"/>
    <xf numFmtId="0" fontId="4" fillId="15" borderId="9" xfId="0" applyFont="1" applyFill="1" applyBorder="1" applyAlignment="1">
      <alignment horizontal="center"/>
    </xf>
    <xf numFmtId="0" fontId="4" fillId="0" borderId="13" xfId="1" applyNumberFormat="1" applyFont="1" applyBorder="1" applyAlignment="1">
      <alignment horizontal="center"/>
    </xf>
    <xf numFmtId="164" fontId="6" fillId="4" borderId="5" xfId="0" applyNumberFormat="1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1" xfId="0" applyFont="1" applyBorder="1"/>
    <xf numFmtId="164" fontId="8" fillId="4" borderId="5" xfId="0" applyNumberFormat="1" applyFont="1" applyFill="1" applyBorder="1" applyAlignment="1">
      <alignment horizontal="center" vertical="center"/>
    </xf>
    <xf numFmtId="164" fontId="16" fillId="4" borderId="5" xfId="0" applyNumberFormat="1" applyFont="1" applyFill="1" applyBorder="1" applyAlignment="1">
      <alignment horizontal="center" vertical="center"/>
    </xf>
    <xf numFmtId="164" fontId="17" fillId="4" borderId="5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8F13-1FD5-4864-8E64-0AF33C6F72E7}">
  <dimension ref="A1:I39"/>
  <sheetViews>
    <sheetView tabSelected="1" workbookViewId="0">
      <selection activeCell="E21" sqref="E21"/>
    </sheetView>
  </sheetViews>
  <sheetFormatPr baseColWidth="10" defaultRowHeight="15.75" x14ac:dyDescent="0.25"/>
  <cols>
    <col min="1" max="1" width="3.125" bestFit="1" customWidth="1"/>
    <col min="2" max="2" width="11.75" bestFit="1" customWidth="1"/>
    <col min="3" max="3" width="8.75" bestFit="1" customWidth="1"/>
    <col min="4" max="4" width="11.25" bestFit="1" customWidth="1"/>
    <col min="5" max="5" width="8.125" bestFit="1" customWidth="1"/>
    <col min="6" max="6" width="10.75" bestFit="1" customWidth="1"/>
    <col min="7" max="7" width="9.75" bestFit="1" customWidth="1"/>
    <col min="8" max="8" width="5.875" bestFit="1" customWidth="1"/>
    <col min="9" max="9" width="6" bestFit="1" customWidth="1"/>
  </cols>
  <sheetData>
    <row r="1" spans="1:9" ht="18.75" x14ac:dyDescent="0.25">
      <c r="A1" s="1"/>
      <c r="B1" s="2" t="s">
        <v>0</v>
      </c>
      <c r="C1" s="3" t="s">
        <v>1</v>
      </c>
      <c r="D1" s="4"/>
      <c r="E1" s="5" t="s">
        <v>2</v>
      </c>
      <c r="F1" s="5" t="s">
        <v>3</v>
      </c>
      <c r="G1" s="4"/>
      <c r="H1" s="4"/>
      <c r="I1" s="4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spans="1:9" x14ac:dyDescent="0.25">
      <c r="A4" s="8">
        <v>1</v>
      </c>
      <c r="B4" s="9" t="s">
        <v>14</v>
      </c>
      <c r="C4" s="10">
        <v>1000</v>
      </c>
      <c r="D4" s="11">
        <f t="shared" ref="D4:D5" si="0">30*100</f>
        <v>3000</v>
      </c>
      <c r="E4" s="12">
        <v>130</v>
      </c>
      <c r="F4" s="12">
        <f t="shared" ref="F4:F15" si="1">E4/C4*D4</f>
        <v>390</v>
      </c>
      <c r="G4" s="13">
        <f t="shared" ref="G4:G15" si="2">F4/121*0.75</f>
        <v>2.4173553719008263</v>
      </c>
      <c r="H4" s="14">
        <f>G4/G24</f>
        <v>5.6477122783213261E-3</v>
      </c>
      <c r="I4" s="146">
        <f>SUM(G4:G15)</f>
        <v>148.52381792355374</v>
      </c>
    </row>
    <row r="5" spans="1:9" x14ac:dyDescent="0.25">
      <c r="A5" s="8">
        <v>2</v>
      </c>
      <c r="B5" s="15" t="s">
        <v>15</v>
      </c>
      <c r="C5" s="16">
        <v>1000</v>
      </c>
      <c r="D5" s="17">
        <f t="shared" si="0"/>
        <v>3000</v>
      </c>
      <c r="E5" s="18">
        <v>3</v>
      </c>
      <c r="F5" s="18">
        <f t="shared" si="1"/>
        <v>9</v>
      </c>
      <c r="G5" s="13">
        <f t="shared" si="2"/>
        <v>5.578512396694215E-2</v>
      </c>
      <c r="H5" s="19">
        <f>G5/G24</f>
        <v>1.3033182180741525E-4</v>
      </c>
      <c r="I5" s="147"/>
    </row>
    <row r="6" spans="1:9" x14ac:dyDescent="0.25">
      <c r="A6" s="8">
        <v>3</v>
      </c>
      <c r="B6" s="15" t="s">
        <v>16</v>
      </c>
      <c r="C6" s="16">
        <v>1000</v>
      </c>
      <c r="D6" s="17">
        <f>600*100</f>
        <v>60000</v>
      </c>
      <c r="E6" s="18">
        <v>210</v>
      </c>
      <c r="F6" s="18">
        <f t="shared" si="1"/>
        <v>12600</v>
      </c>
      <c r="G6" s="13">
        <f t="shared" si="2"/>
        <v>78.099173553718998</v>
      </c>
      <c r="H6" s="19">
        <f>G6/G24</f>
        <v>0.1824645505303813</v>
      </c>
      <c r="I6" s="147"/>
    </row>
    <row r="7" spans="1:9" x14ac:dyDescent="0.25">
      <c r="A7" s="8">
        <v>4</v>
      </c>
      <c r="B7" s="15" t="s">
        <v>17</v>
      </c>
      <c r="C7" s="16">
        <v>1000</v>
      </c>
      <c r="D7" s="17">
        <f t="shared" ref="D7:D8" si="3">200*100</f>
        <v>20000</v>
      </c>
      <c r="E7" s="18">
        <v>210</v>
      </c>
      <c r="F7" s="18">
        <f t="shared" si="1"/>
        <v>4200</v>
      </c>
      <c r="G7" s="13">
        <f t="shared" si="2"/>
        <v>26.033057851239672</v>
      </c>
      <c r="H7" s="19">
        <f>G7/G24</f>
        <v>6.0821516843460446E-2</v>
      </c>
      <c r="I7" s="147"/>
    </row>
    <row r="8" spans="1:9" x14ac:dyDescent="0.25">
      <c r="A8" s="8">
        <v>5</v>
      </c>
      <c r="B8" s="15" t="s">
        <v>18</v>
      </c>
      <c r="C8" s="16">
        <v>1000</v>
      </c>
      <c r="D8" s="17">
        <f t="shared" si="3"/>
        <v>20000</v>
      </c>
      <c r="E8" s="18">
        <v>210</v>
      </c>
      <c r="F8" s="18">
        <f t="shared" si="1"/>
        <v>4200</v>
      </c>
      <c r="G8" s="13">
        <f t="shared" si="2"/>
        <v>26.033057851239672</v>
      </c>
      <c r="H8" s="19">
        <f>G8/G24</f>
        <v>6.0821516843460446E-2</v>
      </c>
      <c r="I8" s="147"/>
    </row>
    <row r="9" spans="1:9" x14ac:dyDescent="0.25">
      <c r="A9" s="8">
        <v>6</v>
      </c>
      <c r="B9" s="15" t="s">
        <v>19</v>
      </c>
      <c r="C9" s="16">
        <v>1000</v>
      </c>
      <c r="D9" s="17">
        <f>150*100</f>
        <v>15000</v>
      </c>
      <c r="E9" s="18">
        <v>150</v>
      </c>
      <c r="F9" s="18">
        <f t="shared" si="1"/>
        <v>2250</v>
      </c>
      <c r="G9" s="13">
        <f t="shared" si="2"/>
        <v>13.946280991735538</v>
      </c>
      <c r="H9" s="19">
        <f>G9/G24</f>
        <v>3.2582955451853808E-2</v>
      </c>
      <c r="I9" s="147"/>
    </row>
    <row r="10" spans="1:9" x14ac:dyDescent="0.25">
      <c r="A10" s="8">
        <v>7</v>
      </c>
      <c r="B10" s="144" t="s">
        <v>20</v>
      </c>
      <c r="C10" s="16">
        <v>1000</v>
      </c>
      <c r="D10" s="17">
        <f>6*5</f>
        <v>30</v>
      </c>
      <c r="E10" s="18">
        <v>3685.2</v>
      </c>
      <c r="F10" s="18">
        <f t="shared" si="1"/>
        <v>110.556</v>
      </c>
      <c r="G10" s="13">
        <f t="shared" si="2"/>
        <v>0.68526446280991737</v>
      </c>
      <c r="H10" s="19">
        <f>G10/G24</f>
        <v>1.6009960990822887E-3</v>
      </c>
      <c r="I10" s="147"/>
    </row>
    <row r="11" spans="1:9" x14ac:dyDescent="0.25">
      <c r="A11" s="8">
        <v>8</v>
      </c>
      <c r="B11" s="144" t="s">
        <v>21</v>
      </c>
      <c r="C11" s="16">
        <v>1000</v>
      </c>
      <c r="D11" s="17">
        <f t="shared" ref="D11:D12" si="4">2*5</f>
        <v>10</v>
      </c>
      <c r="E11" s="18">
        <v>7217.1</v>
      </c>
      <c r="F11" s="18">
        <f t="shared" si="1"/>
        <v>72.171000000000006</v>
      </c>
      <c r="G11" s="13">
        <f t="shared" si="2"/>
        <v>0.44734090909090907</v>
      </c>
      <c r="H11" s="19">
        <f>G11/G24</f>
        <v>1.0451308790736626E-3</v>
      </c>
      <c r="I11" s="147"/>
    </row>
    <row r="12" spans="1:9" x14ac:dyDescent="0.25">
      <c r="A12" s="8">
        <v>9</v>
      </c>
      <c r="B12" s="15" t="s">
        <v>22</v>
      </c>
      <c r="C12" s="16">
        <v>1000</v>
      </c>
      <c r="D12" s="17">
        <f t="shared" si="4"/>
        <v>10</v>
      </c>
      <c r="E12" s="18">
        <v>3223.5</v>
      </c>
      <c r="F12" s="18">
        <f t="shared" si="1"/>
        <v>32.234999999999999</v>
      </c>
      <c r="G12" s="13">
        <f t="shared" si="2"/>
        <v>0.19980371900826444</v>
      </c>
      <c r="H12" s="19">
        <f>G12/G24</f>
        <v>4.6680514177355886E-4</v>
      </c>
      <c r="I12" s="147"/>
    </row>
    <row r="13" spans="1:9" x14ac:dyDescent="0.25">
      <c r="A13" s="8">
        <v>10</v>
      </c>
      <c r="B13" s="15" t="s">
        <v>23</v>
      </c>
      <c r="C13" s="16">
        <v>1000</v>
      </c>
      <c r="D13" s="17">
        <f>0.45*5</f>
        <v>2.25</v>
      </c>
      <c r="E13" s="18">
        <v>24142.5</v>
      </c>
      <c r="F13" s="18">
        <f t="shared" si="1"/>
        <v>54.320624999999993</v>
      </c>
      <c r="G13" s="13">
        <f t="shared" si="2"/>
        <v>0.33669808884297514</v>
      </c>
      <c r="H13" s="19">
        <f>G13/G24</f>
        <v>7.8663400199638041E-4</v>
      </c>
      <c r="I13" s="147"/>
    </row>
    <row r="14" spans="1:9" x14ac:dyDescent="0.25">
      <c r="A14" s="8">
        <v>11</v>
      </c>
      <c r="B14" s="144" t="s">
        <v>24</v>
      </c>
      <c r="C14" s="16">
        <v>1000</v>
      </c>
      <c r="D14" s="17">
        <f>4*5</f>
        <v>20</v>
      </c>
      <c r="E14" s="18">
        <v>378</v>
      </c>
      <c r="F14" s="18">
        <f t="shared" si="1"/>
        <v>7.5600000000000005</v>
      </c>
      <c r="G14" s="13">
        <f t="shared" si="2"/>
        <v>4.685950413223141E-2</v>
      </c>
      <c r="H14" s="19">
        <f>G14/G24</f>
        <v>1.0947873031822881E-4</v>
      </c>
      <c r="I14" s="147"/>
    </row>
    <row r="15" spans="1:9" x14ac:dyDescent="0.25">
      <c r="A15" s="8">
        <v>13</v>
      </c>
      <c r="B15" s="20" t="s">
        <v>25</v>
      </c>
      <c r="C15" s="21">
        <v>1000</v>
      </c>
      <c r="D15" s="22">
        <f>8*5*10</f>
        <v>400</v>
      </c>
      <c r="E15" s="23">
        <v>90</v>
      </c>
      <c r="F15" s="23">
        <f t="shared" si="1"/>
        <v>36</v>
      </c>
      <c r="G15" s="13">
        <f t="shared" si="2"/>
        <v>0.2231404958677686</v>
      </c>
      <c r="H15" s="24">
        <f>G15/G24</f>
        <v>5.2132728722966099E-4</v>
      </c>
      <c r="I15" s="148"/>
    </row>
    <row r="16" spans="1:9" x14ac:dyDescent="0.25">
      <c r="A16" s="8">
        <v>14</v>
      </c>
      <c r="B16" s="9" t="s">
        <v>26</v>
      </c>
      <c r="C16" s="25">
        <v>1</v>
      </c>
      <c r="D16" s="11">
        <v>1</v>
      </c>
      <c r="E16" s="26">
        <v>51</v>
      </c>
      <c r="F16" s="12">
        <f t="shared" ref="F16:F19" si="5">E16*140</f>
        <v>7140</v>
      </c>
      <c r="G16" s="27">
        <f t="shared" ref="G16:G20" si="6">E16</f>
        <v>51</v>
      </c>
      <c r="H16" s="14">
        <f>G16/G24</f>
        <v>0.11915224775904584</v>
      </c>
      <c r="I16" s="149">
        <f>SUM(G16:G20)</f>
        <v>194.5</v>
      </c>
    </row>
    <row r="17" spans="1:9" x14ac:dyDescent="0.25">
      <c r="A17" s="8">
        <v>15</v>
      </c>
      <c r="B17" s="15" t="s">
        <v>27</v>
      </c>
      <c r="C17" s="8">
        <v>1</v>
      </c>
      <c r="D17" s="17">
        <v>1</v>
      </c>
      <c r="E17" s="29">
        <v>9</v>
      </c>
      <c r="F17" s="18">
        <f t="shared" si="5"/>
        <v>1260</v>
      </c>
      <c r="G17" s="27">
        <f t="shared" si="6"/>
        <v>9</v>
      </c>
      <c r="H17" s="19">
        <f>G17/G24</f>
        <v>2.1026867251596325E-2</v>
      </c>
      <c r="I17" s="147"/>
    </row>
    <row r="18" spans="1:9" x14ac:dyDescent="0.25">
      <c r="A18" s="8">
        <v>16</v>
      </c>
      <c r="B18" s="15" t="s">
        <v>28</v>
      </c>
      <c r="C18" s="8">
        <v>1</v>
      </c>
      <c r="D18" s="17">
        <v>1</v>
      </c>
      <c r="E18" s="29">
        <v>100</v>
      </c>
      <c r="F18" s="18">
        <f t="shared" si="5"/>
        <v>14000</v>
      </c>
      <c r="G18" s="27">
        <f t="shared" si="6"/>
        <v>100</v>
      </c>
      <c r="H18" s="19">
        <f>G18/G24</f>
        <v>0.23363185835107028</v>
      </c>
      <c r="I18" s="147"/>
    </row>
    <row r="19" spans="1:9" x14ac:dyDescent="0.25">
      <c r="A19" s="8">
        <v>17</v>
      </c>
      <c r="B19" s="15" t="s">
        <v>29</v>
      </c>
      <c r="C19" s="8">
        <v>1</v>
      </c>
      <c r="D19" s="17">
        <v>1</v>
      </c>
      <c r="E19" s="32">
        <v>4.5</v>
      </c>
      <c r="F19" s="18">
        <f t="shared" si="5"/>
        <v>630</v>
      </c>
      <c r="G19" s="27">
        <f t="shared" si="6"/>
        <v>4.5</v>
      </c>
      <c r="H19" s="19">
        <f>G19/G24</f>
        <v>1.0513433625798162E-2</v>
      </c>
      <c r="I19" s="147"/>
    </row>
    <row r="20" spans="1:9" x14ac:dyDescent="0.25">
      <c r="A20" s="8">
        <v>18</v>
      </c>
      <c r="B20" s="20" t="s">
        <v>30</v>
      </c>
      <c r="C20" s="33">
        <v>1</v>
      </c>
      <c r="D20" s="145">
        <f>1/6</f>
        <v>0.16666666666666666</v>
      </c>
      <c r="E20" s="34">
        <v>30</v>
      </c>
      <c r="F20" s="23">
        <f>E20*140</f>
        <v>4200</v>
      </c>
      <c r="G20" s="27">
        <f t="shared" si="6"/>
        <v>30</v>
      </c>
      <c r="H20" s="24">
        <f>G20/G24</f>
        <v>7.0089557505321087E-2</v>
      </c>
      <c r="I20" s="148"/>
    </row>
    <row r="21" spans="1:9" x14ac:dyDescent="0.25">
      <c r="A21" s="7"/>
      <c r="B21" s="36" t="s">
        <v>31</v>
      </c>
      <c r="C21" s="37"/>
      <c r="D21" s="37"/>
      <c r="E21" s="37"/>
      <c r="F21" s="37"/>
      <c r="G21" s="38">
        <f>SUM(G4+G5+G6+G7+G8+G9+G10+G11+G12+G13+G14++G15+G16+G17+G18+G19+G20)</f>
        <v>343.02381792355374</v>
      </c>
      <c r="H21" s="39"/>
      <c r="I21" s="40"/>
    </row>
    <row r="22" spans="1:9" x14ac:dyDescent="0.25">
      <c r="A22" s="41">
        <v>19</v>
      </c>
      <c r="B22" s="42" t="s">
        <v>32</v>
      </c>
      <c r="C22" s="43">
        <v>1</v>
      </c>
      <c r="D22" s="43">
        <v>1</v>
      </c>
      <c r="E22" s="44">
        <v>85</v>
      </c>
      <c r="F22" s="44">
        <f>E22*133</f>
        <v>11305</v>
      </c>
      <c r="G22" s="45">
        <f>E22</f>
        <v>85</v>
      </c>
      <c r="H22" s="46">
        <f>G22/G24</f>
        <v>0.19858707959840974</v>
      </c>
      <c r="I22" s="47">
        <f>G22</f>
        <v>85</v>
      </c>
    </row>
    <row r="23" spans="1:9" x14ac:dyDescent="0.25">
      <c r="A23" s="48"/>
      <c r="B23" s="49"/>
      <c r="C23" s="50"/>
      <c r="D23" s="50"/>
      <c r="E23" s="50"/>
      <c r="F23" s="50"/>
      <c r="G23" s="51"/>
      <c r="H23" s="39"/>
      <c r="I23" s="52"/>
    </row>
    <row r="24" spans="1:9" x14ac:dyDescent="0.25">
      <c r="A24" s="53"/>
      <c r="B24" s="49" t="s">
        <v>35</v>
      </c>
      <c r="C24" s="50"/>
      <c r="D24" s="50"/>
      <c r="E24" s="50"/>
      <c r="F24" s="50"/>
      <c r="G24" s="54">
        <f>G21+G22</f>
        <v>428.02381792355374</v>
      </c>
      <c r="H24" s="39"/>
      <c r="I24" s="52"/>
    </row>
    <row r="25" spans="1:9" x14ac:dyDescent="0.25">
      <c r="A25" s="1"/>
      <c r="B25" s="1"/>
      <c r="C25" s="1"/>
      <c r="D25" s="1"/>
      <c r="E25" s="1"/>
      <c r="F25" s="55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56" t="s">
        <v>36</v>
      </c>
      <c r="G26" s="57"/>
      <c r="H26" s="57"/>
      <c r="I26" s="58">
        <f>I4+I16+I22</f>
        <v>428.02381792355374</v>
      </c>
    </row>
    <row r="27" spans="1:9" x14ac:dyDescent="0.25">
      <c r="A27" s="1"/>
      <c r="B27" s="1"/>
      <c r="C27" s="1"/>
      <c r="D27" s="1"/>
      <c r="E27" s="1"/>
      <c r="F27" s="61"/>
      <c r="G27" s="1"/>
      <c r="H27" s="1"/>
      <c r="I27" s="7"/>
    </row>
    <row r="28" spans="1:9" x14ac:dyDescent="0.25">
      <c r="A28" s="1"/>
      <c r="B28" s="1"/>
      <c r="C28" s="1"/>
      <c r="D28" s="1"/>
      <c r="E28" s="1"/>
      <c r="F28" s="56" t="s">
        <v>39</v>
      </c>
      <c r="G28" s="57"/>
      <c r="H28" s="57"/>
      <c r="I28" s="58"/>
    </row>
    <row r="29" spans="1:9" x14ac:dyDescent="0.25">
      <c r="A29" s="1"/>
      <c r="B29" s="1"/>
      <c r="C29" s="1"/>
      <c r="D29" s="1"/>
      <c r="E29" s="1"/>
      <c r="F29" s="61"/>
      <c r="G29" s="1"/>
      <c r="H29" s="1"/>
      <c r="I29" s="7"/>
    </row>
    <row r="30" spans="1:9" x14ac:dyDescent="0.25">
      <c r="A30" s="1"/>
      <c r="B30" s="1"/>
      <c r="C30" s="1"/>
      <c r="D30" s="1"/>
      <c r="E30" s="1"/>
      <c r="F30" s="56" t="s">
        <v>40</v>
      </c>
      <c r="G30" s="57"/>
      <c r="H30" s="57"/>
      <c r="I30" s="58">
        <f>SUM(I26+I28)</f>
        <v>428.02381792355374</v>
      </c>
    </row>
    <row r="31" spans="1:9" x14ac:dyDescent="0.25">
      <c r="A31" s="1"/>
      <c r="B31" s="1"/>
      <c r="C31" s="1"/>
      <c r="D31" s="1"/>
      <c r="E31" s="1"/>
      <c r="F31" s="61"/>
      <c r="G31" s="1"/>
      <c r="H31" s="1"/>
      <c r="I31" s="7"/>
    </row>
    <row r="32" spans="1:9" x14ac:dyDescent="0.25">
      <c r="A32" s="1"/>
      <c r="B32" s="1"/>
      <c r="C32" s="1"/>
      <c r="D32" s="1"/>
      <c r="E32" s="1"/>
      <c r="F32" s="56" t="s">
        <v>41</v>
      </c>
      <c r="G32" s="57"/>
      <c r="H32" s="57"/>
      <c r="I32" s="58">
        <f>I26*0.21</f>
        <v>89.885001763946278</v>
      </c>
    </row>
    <row r="33" spans="1:9" x14ac:dyDescent="0.25">
      <c r="A33" s="1"/>
      <c r="B33" s="1"/>
      <c r="C33" s="1"/>
      <c r="D33" s="1"/>
      <c r="E33" s="1"/>
      <c r="F33" s="63"/>
      <c r="G33" s="1"/>
      <c r="H33" s="1"/>
      <c r="I33" s="64"/>
    </row>
    <row r="34" spans="1:9" x14ac:dyDescent="0.25">
      <c r="A34" s="1"/>
      <c r="B34" s="1"/>
      <c r="C34" s="1"/>
      <c r="D34" s="1"/>
      <c r="E34" s="1"/>
      <c r="F34" s="56" t="s">
        <v>42</v>
      </c>
      <c r="G34" s="57"/>
      <c r="H34" s="57"/>
      <c r="I34" s="58">
        <f>I30+I32</f>
        <v>517.9088196875</v>
      </c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2">
    <mergeCell ref="I4:I15"/>
    <mergeCell ref="I16:I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3AEF"/>
    <pageSetUpPr fitToPage="1"/>
  </sheetPr>
  <dimension ref="A1:S1000"/>
  <sheetViews>
    <sheetView topLeftCell="A4" workbookViewId="0">
      <selection activeCell="F16" sqref="F16"/>
    </sheetView>
  </sheetViews>
  <sheetFormatPr baseColWidth="10" defaultColWidth="11.25" defaultRowHeight="15" customHeight="1" x14ac:dyDescent="0.25"/>
  <cols>
    <col min="1" max="1" width="3.125" bestFit="1" customWidth="1"/>
    <col min="2" max="2" width="11.75" bestFit="1" customWidth="1"/>
    <col min="3" max="3" width="8.75" bestFit="1" customWidth="1"/>
    <col min="4" max="4" width="11.25" bestFit="1" customWidth="1"/>
    <col min="5" max="5" width="8.125" bestFit="1" customWidth="1"/>
    <col min="6" max="6" width="10.75" bestFit="1" customWidth="1"/>
    <col min="7" max="7" width="9.75" bestFit="1" customWidth="1"/>
    <col min="8" max="8" width="5.875" bestFit="1" customWidth="1"/>
    <col min="9" max="9" width="6" bestFit="1" customWidth="1"/>
    <col min="10" max="10" width="10.5" customWidth="1"/>
    <col min="11" max="11" width="3.125" bestFit="1" customWidth="1"/>
    <col min="12" max="12" width="21.25" bestFit="1" customWidth="1"/>
    <col min="13" max="13" width="22.875" bestFit="1" customWidth="1"/>
    <col min="14" max="14" width="11.25" bestFit="1" customWidth="1"/>
    <col min="15" max="15" width="8.125" bestFit="1" customWidth="1"/>
    <col min="16" max="16" width="10.75" bestFit="1" customWidth="1"/>
    <col min="17" max="17" width="9.75" bestFit="1" customWidth="1"/>
    <col min="18" max="18" width="5.875" bestFit="1" customWidth="1"/>
    <col min="19" max="19" width="6" bestFit="1" customWidth="1"/>
  </cols>
  <sheetData>
    <row r="1" spans="1:19" ht="50.25" customHeight="1" x14ac:dyDescent="0.25">
      <c r="A1" s="1"/>
      <c r="B1" s="2" t="s">
        <v>0</v>
      </c>
      <c r="C1" s="3" t="s">
        <v>1</v>
      </c>
      <c r="D1" s="4"/>
      <c r="E1" s="5" t="s">
        <v>2</v>
      </c>
      <c r="F1" s="5" t="s">
        <v>3</v>
      </c>
      <c r="G1" s="4"/>
      <c r="H1" s="4"/>
      <c r="I1" s="4"/>
      <c r="J1" s="4"/>
      <c r="K1" s="4"/>
      <c r="L1" s="2" t="s">
        <v>0</v>
      </c>
      <c r="M1" s="3" t="s">
        <v>4</v>
      </c>
      <c r="N1" s="4"/>
      <c r="O1" s="5" t="s">
        <v>2</v>
      </c>
      <c r="P1" s="5" t="s">
        <v>3</v>
      </c>
      <c r="Q1" s="1"/>
      <c r="R1" s="1"/>
      <c r="S1" s="1"/>
    </row>
    <row r="2" spans="1:19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7"/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6" t="s">
        <v>12</v>
      </c>
      <c r="S3" s="6" t="s">
        <v>13</v>
      </c>
    </row>
    <row r="4" spans="1:19" ht="15.75" x14ac:dyDescent="0.25">
      <c r="A4" s="8">
        <v>1</v>
      </c>
      <c r="B4" s="9" t="s">
        <v>14</v>
      </c>
      <c r="C4" s="10">
        <v>1000</v>
      </c>
      <c r="D4" s="11">
        <f t="shared" ref="D4:D5" si="0">30*100</f>
        <v>3000</v>
      </c>
      <c r="E4" s="12">
        <v>130</v>
      </c>
      <c r="F4" s="12">
        <f t="shared" ref="F4:F15" si="1">E4/C4*D4</f>
        <v>390</v>
      </c>
      <c r="G4" s="13">
        <f t="shared" ref="G4:G15" si="2">F4/121*0.75</f>
        <v>2.4173553719008263</v>
      </c>
      <c r="H4" s="14">
        <f>G4/G24</f>
        <v>5.7621220341156163E-3</v>
      </c>
      <c r="I4" s="146">
        <f>SUM(G4:G15)</f>
        <v>153.35852866735539</v>
      </c>
      <c r="J4" s="7"/>
      <c r="K4" s="8">
        <v>1</v>
      </c>
      <c r="L4" s="9" t="s">
        <v>14</v>
      </c>
      <c r="M4" s="10">
        <v>1000</v>
      </c>
      <c r="N4" s="11">
        <f t="shared" ref="N4:N5" si="3">30*100</f>
        <v>3000</v>
      </c>
      <c r="O4" s="12">
        <v>130</v>
      </c>
      <c r="P4" s="12">
        <f t="shared" ref="P4:P15" si="4">O4/M4*N4</f>
        <v>390</v>
      </c>
      <c r="Q4" s="13">
        <f t="shared" ref="Q4:Q15" si="5">P4/105*0.75</f>
        <v>2.7857142857142856</v>
      </c>
      <c r="R4" s="14">
        <f>Q4/Q24</f>
        <v>8.1413772920876787E-3</v>
      </c>
      <c r="S4" s="146">
        <f>SUM(Q4:Q15)</f>
        <v>173.72744732142857</v>
      </c>
    </row>
    <row r="5" spans="1:19" ht="15.75" x14ac:dyDescent="0.25">
      <c r="A5" s="8">
        <v>2</v>
      </c>
      <c r="B5" s="15" t="s">
        <v>15</v>
      </c>
      <c r="C5" s="16">
        <v>1000</v>
      </c>
      <c r="D5" s="17">
        <f t="shared" si="0"/>
        <v>3000</v>
      </c>
      <c r="E5" s="18">
        <v>3</v>
      </c>
      <c r="F5" s="18">
        <f t="shared" si="1"/>
        <v>9</v>
      </c>
      <c r="G5" s="13">
        <f t="shared" si="2"/>
        <v>5.578512396694215E-2</v>
      </c>
      <c r="H5" s="19">
        <f>G5/G24</f>
        <v>1.3297204694112961E-4</v>
      </c>
      <c r="I5" s="147"/>
      <c r="J5" s="7"/>
      <c r="K5" s="8">
        <v>2</v>
      </c>
      <c r="L5" s="15" t="s">
        <v>15</v>
      </c>
      <c r="M5" s="16">
        <v>1000</v>
      </c>
      <c r="N5" s="17">
        <f t="shared" si="3"/>
        <v>3000</v>
      </c>
      <c r="O5" s="18">
        <v>3</v>
      </c>
      <c r="P5" s="18">
        <f t="shared" si="4"/>
        <v>9</v>
      </c>
      <c r="Q5" s="13">
        <f t="shared" si="5"/>
        <v>6.4285714285714279E-2</v>
      </c>
      <c r="R5" s="19">
        <f>Q5/Q24</f>
        <v>1.8787793750971564E-4</v>
      </c>
      <c r="S5" s="147"/>
    </row>
    <row r="6" spans="1:19" ht="15.75" x14ac:dyDescent="0.25">
      <c r="A6" s="8">
        <v>3</v>
      </c>
      <c r="B6" s="15" t="s">
        <v>16</v>
      </c>
      <c r="C6" s="16">
        <v>1000</v>
      </c>
      <c r="D6" s="17">
        <f>600*100</f>
        <v>60000</v>
      </c>
      <c r="E6" s="18">
        <f t="shared" ref="E6:E8" si="6">180*21%+180</f>
        <v>217.8</v>
      </c>
      <c r="F6" s="18">
        <f t="shared" si="1"/>
        <v>13068.000000000002</v>
      </c>
      <c r="G6" s="13">
        <f t="shared" si="2"/>
        <v>81.000000000000014</v>
      </c>
      <c r="H6" s="19">
        <f>G6/G24</f>
        <v>0.19307541215852023</v>
      </c>
      <c r="I6" s="147"/>
      <c r="J6" s="7"/>
      <c r="K6" s="8">
        <v>3</v>
      </c>
      <c r="L6" s="15" t="s">
        <v>16</v>
      </c>
      <c r="M6" s="16">
        <v>1000</v>
      </c>
      <c r="N6" s="17">
        <f>600*100</f>
        <v>60000</v>
      </c>
      <c r="O6" s="18">
        <f t="shared" ref="O6:O8" si="7">160*21%+180</f>
        <v>213.6</v>
      </c>
      <c r="P6" s="18">
        <f t="shared" si="4"/>
        <v>12815.999999999998</v>
      </c>
      <c r="Q6" s="13">
        <f t="shared" si="5"/>
        <v>91.54285714285713</v>
      </c>
      <c r="R6" s="19">
        <f>Q6/Q24</f>
        <v>0.26753818301383508</v>
      </c>
      <c r="S6" s="147"/>
    </row>
    <row r="7" spans="1:19" ht="15.75" x14ac:dyDescent="0.25">
      <c r="A7" s="8">
        <v>4</v>
      </c>
      <c r="B7" s="15" t="s">
        <v>17</v>
      </c>
      <c r="C7" s="16">
        <v>1000</v>
      </c>
      <c r="D7" s="17">
        <f t="shared" ref="D7:D8" si="8">200*100</f>
        <v>20000</v>
      </c>
      <c r="E7" s="18">
        <f t="shared" si="6"/>
        <v>217.8</v>
      </c>
      <c r="F7" s="18">
        <f t="shared" si="1"/>
        <v>4356</v>
      </c>
      <c r="G7" s="13">
        <f t="shared" si="2"/>
        <v>27</v>
      </c>
      <c r="H7" s="19">
        <f>G7/G24</f>
        <v>6.4358470719506733E-2</v>
      </c>
      <c r="I7" s="147"/>
      <c r="J7" s="7"/>
      <c r="K7" s="8">
        <v>4</v>
      </c>
      <c r="L7" s="15" t="s">
        <v>17</v>
      </c>
      <c r="M7" s="16">
        <v>1000</v>
      </c>
      <c r="N7" s="17">
        <f t="shared" ref="N7:N8" si="9">200*100</f>
        <v>20000</v>
      </c>
      <c r="O7" s="18">
        <f t="shared" si="7"/>
        <v>213.6</v>
      </c>
      <c r="P7" s="18">
        <f t="shared" si="4"/>
        <v>4272</v>
      </c>
      <c r="Q7" s="13">
        <f t="shared" si="5"/>
        <v>30.514285714285712</v>
      </c>
      <c r="R7" s="19">
        <f>Q7/Q24</f>
        <v>8.9179394337945028E-2</v>
      </c>
      <c r="S7" s="147"/>
    </row>
    <row r="8" spans="1:19" ht="15.75" x14ac:dyDescent="0.25">
      <c r="A8" s="8">
        <v>5</v>
      </c>
      <c r="B8" s="15" t="s">
        <v>18</v>
      </c>
      <c r="C8" s="16">
        <v>1000</v>
      </c>
      <c r="D8" s="17">
        <f t="shared" si="8"/>
        <v>20000</v>
      </c>
      <c r="E8" s="18">
        <f t="shared" si="6"/>
        <v>217.8</v>
      </c>
      <c r="F8" s="18">
        <f t="shared" si="1"/>
        <v>4356</v>
      </c>
      <c r="G8" s="13">
        <f t="shared" si="2"/>
        <v>27</v>
      </c>
      <c r="H8" s="19">
        <f>G8/G24</f>
        <v>6.4358470719506733E-2</v>
      </c>
      <c r="I8" s="147"/>
      <c r="J8" s="7"/>
      <c r="K8" s="8">
        <v>5</v>
      </c>
      <c r="L8" s="15" t="s">
        <v>18</v>
      </c>
      <c r="M8" s="16">
        <v>1000</v>
      </c>
      <c r="N8" s="17">
        <f t="shared" si="9"/>
        <v>20000</v>
      </c>
      <c r="O8" s="18">
        <f t="shared" si="7"/>
        <v>213.6</v>
      </c>
      <c r="P8" s="18">
        <f t="shared" si="4"/>
        <v>4272</v>
      </c>
      <c r="Q8" s="13">
        <f t="shared" si="5"/>
        <v>30.514285714285712</v>
      </c>
      <c r="R8" s="19">
        <f>Q8/Q24</f>
        <v>8.9179394337945028E-2</v>
      </c>
      <c r="S8" s="147"/>
    </row>
    <row r="9" spans="1:19" ht="15.75" x14ac:dyDescent="0.25">
      <c r="A9" s="8">
        <v>6</v>
      </c>
      <c r="B9" s="15" t="s">
        <v>19</v>
      </c>
      <c r="C9" s="16">
        <v>1000</v>
      </c>
      <c r="D9" s="17">
        <f>150*100</f>
        <v>15000</v>
      </c>
      <c r="E9" s="18">
        <v>150</v>
      </c>
      <c r="F9" s="18">
        <f t="shared" si="1"/>
        <v>2250</v>
      </c>
      <c r="G9" s="13">
        <f t="shared" si="2"/>
        <v>13.946280991735538</v>
      </c>
      <c r="H9" s="19">
        <f>G9/G24</f>
        <v>3.3243011735282407E-2</v>
      </c>
      <c r="I9" s="147"/>
      <c r="J9" s="7"/>
      <c r="K9" s="8">
        <v>6</v>
      </c>
      <c r="L9" s="15" t="s">
        <v>19</v>
      </c>
      <c r="M9" s="16">
        <v>1000</v>
      </c>
      <c r="N9" s="17">
        <f>150*100</f>
        <v>15000</v>
      </c>
      <c r="O9" s="18">
        <v>150</v>
      </c>
      <c r="P9" s="18">
        <f t="shared" si="4"/>
        <v>2250</v>
      </c>
      <c r="Q9" s="13">
        <f t="shared" si="5"/>
        <v>16.071428571428569</v>
      </c>
      <c r="R9" s="19">
        <f>Q9/Q24</f>
        <v>4.6969484377428906E-2</v>
      </c>
      <c r="S9" s="147"/>
    </row>
    <row r="10" spans="1:19" ht="15.75" x14ac:dyDescent="0.25">
      <c r="A10" s="8">
        <v>7</v>
      </c>
      <c r="B10" s="144" t="s">
        <v>20</v>
      </c>
      <c r="C10" s="16">
        <v>1000</v>
      </c>
      <c r="D10" s="17">
        <f>6*5</f>
        <v>30</v>
      </c>
      <c r="E10" s="18">
        <v>3685.2</v>
      </c>
      <c r="F10" s="18">
        <f t="shared" si="1"/>
        <v>110.556</v>
      </c>
      <c r="G10" s="13">
        <f t="shared" si="2"/>
        <v>0.68526446280991737</v>
      </c>
      <c r="H10" s="19">
        <f>G10/G24</f>
        <v>1.6334286246248361E-3</v>
      </c>
      <c r="I10" s="147"/>
      <c r="J10" s="7"/>
      <c r="K10" s="8">
        <v>7</v>
      </c>
      <c r="L10" s="15" t="s">
        <v>20</v>
      </c>
      <c r="M10" s="16">
        <v>1000</v>
      </c>
      <c r="N10" s="17">
        <f>6*5</f>
        <v>30</v>
      </c>
      <c r="O10" s="18">
        <v>3685.2</v>
      </c>
      <c r="P10" s="18">
        <f t="shared" si="4"/>
        <v>110.556</v>
      </c>
      <c r="Q10" s="13">
        <f t="shared" si="5"/>
        <v>0.78968571428571432</v>
      </c>
      <c r="R10" s="19">
        <f>Q10/Q24</f>
        <v>2.3078925843693474E-3</v>
      </c>
      <c r="S10" s="147"/>
    </row>
    <row r="11" spans="1:19" ht="15.75" x14ac:dyDescent="0.25">
      <c r="A11" s="8">
        <v>8</v>
      </c>
      <c r="B11" s="144" t="s">
        <v>21</v>
      </c>
      <c r="C11" s="16">
        <v>1000</v>
      </c>
      <c r="D11" s="17">
        <f t="shared" ref="D11:D12" si="10">2*5</f>
        <v>10</v>
      </c>
      <c r="E11" s="18">
        <v>7217.1</v>
      </c>
      <c r="F11" s="18">
        <f t="shared" si="1"/>
        <v>72.171000000000006</v>
      </c>
      <c r="G11" s="13">
        <f t="shared" si="2"/>
        <v>0.44734090909090907</v>
      </c>
      <c r="H11" s="19">
        <f>G11/G24</f>
        <v>1.0663028444209183E-3</v>
      </c>
      <c r="I11" s="147"/>
      <c r="J11" s="7"/>
      <c r="K11" s="8">
        <v>8</v>
      </c>
      <c r="L11" s="15" t="s">
        <v>21</v>
      </c>
      <c r="M11" s="16">
        <v>1000</v>
      </c>
      <c r="N11" s="17">
        <f t="shared" ref="N11:N12" si="11">2*5</f>
        <v>10</v>
      </c>
      <c r="O11" s="18">
        <v>7217.1</v>
      </c>
      <c r="P11" s="18">
        <f t="shared" si="4"/>
        <v>72.171000000000006</v>
      </c>
      <c r="Q11" s="13">
        <f t="shared" si="5"/>
        <v>0.51550714285714294</v>
      </c>
      <c r="R11" s="19">
        <f>Q11/Q24</f>
        <v>1.5065931808904102E-3</v>
      </c>
      <c r="S11" s="147"/>
    </row>
    <row r="12" spans="1:19" ht="15.75" x14ac:dyDescent="0.25">
      <c r="A12" s="8">
        <v>9</v>
      </c>
      <c r="B12" s="15" t="s">
        <v>22</v>
      </c>
      <c r="C12" s="16">
        <v>1000</v>
      </c>
      <c r="D12" s="17">
        <f t="shared" si="10"/>
        <v>10</v>
      </c>
      <c r="E12" s="18">
        <v>3223.5</v>
      </c>
      <c r="F12" s="18">
        <f t="shared" si="1"/>
        <v>32.234999999999999</v>
      </c>
      <c r="G12" s="13">
        <f t="shared" si="2"/>
        <v>0.19980371900826444</v>
      </c>
      <c r="H12" s="19">
        <f>G12/G24</f>
        <v>4.7626154812747918E-4</v>
      </c>
      <c r="I12" s="147"/>
      <c r="J12" s="7"/>
      <c r="K12" s="8">
        <v>9</v>
      </c>
      <c r="L12" s="15" t="s">
        <v>22</v>
      </c>
      <c r="M12" s="16">
        <v>1000</v>
      </c>
      <c r="N12" s="17">
        <f t="shared" si="11"/>
        <v>10</v>
      </c>
      <c r="O12" s="18">
        <v>3223.5</v>
      </c>
      <c r="P12" s="18">
        <f t="shared" si="4"/>
        <v>32.234999999999999</v>
      </c>
      <c r="Q12" s="13">
        <f t="shared" si="5"/>
        <v>0.23025000000000001</v>
      </c>
      <c r="R12" s="19">
        <f>Q12/Q24</f>
        <v>6.7291614618063158E-4</v>
      </c>
      <c r="S12" s="147"/>
    </row>
    <row r="13" spans="1:19" ht="15.75" x14ac:dyDescent="0.25">
      <c r="A13" s="8">
        <v>10</v>
      </c>
      <c r="B13" s="15" t="s">
        <v>23</v>
      </c>
      <c r="C13" s="16">
        <v>1000</v>
      </c>
      <c r="D13" s="17">
        <f>0.45*5</f>
        <v>2.25</v>
      </c>
      <c r="E13" s="18">
        <v>24142.5</v>
      </c>
      <c r="F13" s="18">
        <f t="shared" si="1"/>
        <v>54.320624999999993</v>
      </c>
      <c r="G13" s="13">
        <f t="shared" si="2"/>
        <v>0.33669808884297514</v>
      </c>
      <c r="H13" s="19">
        <f>G13/G24</f>
        <v>8.0256941081905525E-4</v>
      </c>
      <c r="I13" s="147"/>
      <c r="J13" s="7"/>
      <c r="K13" s="8">
        <v>10</v>
      </c>
      <c r="L13" s="15" t="s">
        <v>23</v>
      </c>
      <c r="M13" s="16">
        <v>1000</v>
      </c>
      <c r="N13" s="17">
        <f>0.45*5</f>
        <v>2.25</v>
      </c>
      <c r="O13" s="18">
        <v>24142.5</v>
      </c>
      <c r="P13" s="18">
        <f t="shared" si="4"/>
        <v>54.320624999999993</v>
      </c>
      <c r="Q13" s="13">
        <f t="shared" si="5"/>
        <v>0.38800446428571422</v>
      </c>
      <c r="R13" s="19">
        <f>Q13/Q24</f>
        <v>1.1339607765820773E-3</v>
      </c>
      <c r="S13" s="147"/>
    </row>
    <row r="14" spans="1:19" ht="15.75" x14ac:dyDescent="0.25">
      <c r="A14" s="8">
        <v>11</v>
      </c>
      <c r="B14" s="144" t="s">
        <v>24</v>
      </c>
      <c r="C14" s="16">
        <v>1000</v>
      </c>
      <c r="D14" s="17">
        <f>4*5</f>
        <v>20</v>
      </c>
      <c r="E14" s="18">
        <v>378</v>
      </c>
      <c r="F14" s="18">
        <f t="shared" si="1"/>
        <v>7.5600000000000005</v>
      </c>
      <c r="G14" s="13">
        <f t="shared" si="2"/>
        <v>4.685950413223141E-2</v>
      </c>
      <c r="H14" s="19">
        <f>G14/G24</f>
        <v>1.1169651943054889E-4</v>
      </c>
      <c r="I14" s="147"/>
      <c r="J14" s="7"/>
      <c r="K14" s="8">
        <v>11</v>
      </c>
      <c r="L14" s="15" t="s">
        <v>24</v>
      </c>
      <c r="M14" s="16">
        <v>1000</v>
      </c>
      <c r="N14" s="17">
        <f>4*5</f>
        <v>20</v>
      </c>
      <c r="O14" s="18">
        <v>378</v>
      </c>
      <c r="P14" s="18">
        <f t="shared" si="4"/>
        <v>7.5600000000000005</v>
      </c>
      <c r="Q14" s="13">
        <f t="shared" si="5"/>
        <v>5.4000000000000006E-2</v>
      </c>
      <c r="R14" s="19">
        <f>Q14/Q24</f>
        <v>1.5781746750816118E-4</v>
      </c>
      <c r="S14" s="147"/>
    </row>
    <row r="15" spans="1:19" ht="15.75" x14ac:dyDescent="0.25">
      <c r="A15" s="8">
        <v>13</v>
      </c>
      <c r="B15" s="20" t="s">
        <v>25</v>
      </c>
      <c r="C15" s="21">
        <v>1000</v>
      </c>
      <c r="D15" s="22">
        <f>8*5*10</f>
        <v>400</v>
      </c>
      <c r="E15" s="23">
        <v>90</v>
      </c>
      <c r="F15" s="23">
        <f t="shared" si="1"/>
        <v>36</v>
      </c>
      <c r="G15" s="13">
        <f t="shared" si="2"/>
        <v>0.2231404958677686</v>
      </c>
      <c r="H15" s="24">
        <f>G15/G24</f>
        <v>5.3188818776451845E-4</v>
      </c>
      <c r="I15" s="148"/>
      <c r="J15" s="7"/>
      <c r="K15" s="8">
        <v>13</v>
      </c>
      <c r="L15" s="20" t="s">
        <v>25</v>
      </c>
      <c r="M15" s="21">
        <v>1000</v>
      </c>
      <c r="N15" s="22">
        <f>8*5*10</f>
        <v>400</v>
      </c>
      <c r="O15" s="23">
        <v>90</v>
      </c>
      <c r="P15" s="23">
        <f t="shared" si="4"/>
        <v>36</v>
      </c>
      <c r="Q15" s="13">
        <f t="shared" si="5"/>
        <v>0.25714285714285712</v>
      </c>
      <c r="R15" s="24">
        <f>Q15/Q24</f>
        <v>7.5151175003886257E-4</v>
      </c>
      <c r="S15" s="148"/>
    </row>
    <row r="16" spans="1:19" ht="15.75" x14ac:dyDescent="0.25">
      <c r="A16" s="8">
        <v>14</v>
      </c>
      <c r="B16" s="9" t="s">
        <v>26</v>
      </c>
      <c r="C16" s="25">
        <v>1</v>
      </c>
      <c r="D16" s="11">
        <v>1</v>
      </c>
      <c r="E16" s="26">
        <v>22</v>
      </c>
      <c r="F16" s="12">
        <f t="shared" ref="F16:F20" si="12">E16*140</f>
        <v>3080</v>
      </c>
      <c r="G16" s="27">
        <f t="shared" ref="G16:G20" si="13">E16</f>
        <v>22</v>
      </c>
      <c r="H16" s="14">
        <f>G16/G24</f>
        <v>5.244023540107956E-2</v>
      </c>
      <c r="I16" s="149">
        <f>SUM(G16:G20)</f>
        <v>181.16666666666666</v>
      </c>
      <c r="J16" s="7"/>
      <c r="K16" s="8">
        <v>14</v>
      </c>
      <c r="L16" s="9" t="s">
        <v>26</v>
      </c>
      <c r="M16" s="25">
        <v>1</v>
      </c>
      <c r="N16" s="11">
        <v>1</v>
      </c>
      <c r="O16" s="28">
        <v>7.32</v>
      </c>
      <c r="P16" s="12">
        <f t="shared" ref="P16:P20" si="14">O16*140</f>
        <v>1024.8</v>
      </c>
      <c r="Q16" s="27">
        <f t="shared" ref="Q16:Q20" si="15">O16</f>
        <v>7.32</v>
      </c>
      <c r="R16" s="14">
        <f>Q16/Q24</f>
        <v>2.1393034484439622E-2</v>
      </c>
      <c r="S16" s="149">
        <f>SUM(Q16:Q20)</f>
        <v>64.44</v>
      </c>
    </row>
    <row r="17" spans="1:19" ht="15.75" x14ac:dyDescent="0.25">
      <c r="A17" s="8">
        <v>15</v>
      </c>
      <c r="B17" s="15" t="s">
        <v>27</v>
      </c>
      <c r="C17" s="8">
        <v>1</v>
      </c>
      <c r="D17" s="17">
        <v>1</v>
      </c>
      <c r="E17" s="29">
        <v>9</v>
      </c>
      <c r="F17" s="18">
        <f t="shared" si="12"/>
        <v>1260</v>
      </c>
      <c r="G17" s="27">
        <f t="shared" si="13"/>
        <v>9</v>
      </c>
      <c r="H17" s="19">
        <f>G17/G24</f>
        <v>2.1452823573168911E-2</v>
      </c>
      <c r="I17" s="147"/>
      <c r="J17" s="7"/>
      <c r="K17" s="8">
        <v>15</v>
      </c>
      <c r="L17" s="15" t="s">
        <v>27</v>
      </c>
      <c r="M17" s="8">
        <v>1</v>
      </c>
      <c r="N17" s="17">
        <v>1</v>
      </c>
      <c r="O17" s="30">
        <v>6.77</v>
      </c>
      <c r="P17" s="18">
        <f t="shared" si="14"/>
        <v>947.8</v>
      </c>
      <c r="Q17" s="27">
        <f t="shared" si="15"/>
        <v>6.77</v>
      </c>
      <c r="R17" s="19">
        <f>Q17/Q24</f>
        <v>1.9785634352412054E-2</v>
      </c>
      <c r="S17" s="147"/>
    </row>
    <row r="18" spans="1:19" ht="15.75" x14ac:dyDescent="0.25">
      <c r="A18" s="8">
        <v>16</v>
      </c>
      <c r="B18" s="15" t="s">
        <v>28</v>
      </c>
      <c r="C18" s="8">
        <v>1</v>
      </c>
      <c r="D18" s="17">
        <v>1</v>
      </c>
      <c r="E18" s="29">
        <v>120</v>
      </c>
      <c r="F18" s="18">
        <f t="shared" si="12"/>
        <v>16800</v>
      </c>
      <c r="G18" s="27">
        <f t="shared" si="13"/>
        <v>120</v>
      </c>
      <c r="H18" s="19">
        <f>G18/G24</f>
        <v>0.28603764764225215</v>
      </c>
      <c r="I18" s="147"/>
      <c r="J18" s="7"/>
      <c r="K18" s="8">
        <v>16</v>
      </c>
      <c r="L18" s="15" t="s">
        <v>28</v>
      </c>
      <c r="M18" s="8">
        <v>1</v>
      </c>
      <c r="N18" s="17">
        <v>1</v>
      </c>
      <c r="O18" s="31">
        <v>39.299999999999997</v>
      </c>
      <c r="P18" s="18">
        <f t="shared" si="14"/>
        <v>5502</v>
      </c>
      <c r="Q18" s="27">
        <f t="shared" si="15"/>
        <v>39.299999999999997</v>
      </c>
      <c r="R18" s="19">
        <f>Q18/Q24</f>
        <v>0.11485604579760617</v>
      </c>
      <c r="S18" s="147"/>
    </row>
    <row r="19" spans="1:19" ht="15.75" x14ac:dyDescent="0.25">
      <c r="A19" s="8">
        <v>17</v>
      </c>
      <c r="B19" s="15" t="s">
        <v>29</v>
      </c>
      <c r="C19" s="8">
        <v>1</v>
      </c>
      <c r="D19" s="17">
        <v>1</v>
      </c>
      <c r="E19" s="32">
        <v>4.5</v>
      </c>
      <c r="F19" s="18">
        <f t="shared" si="12"/>
        <v>630</v>
      </c>
      <c r="G19" s="27">
        <f t="shared" si="13"/>
        <v>4.5</v>
      </c>
      <c r="H19" s="19">
        <f>G19/G24</f>
        <v>1.0726411786584455E-2</v>
      </c>
      <c r="I19" s="147"/>
      <c r="J19" s="7"/>
      <c r="K19" s="8">
        <v>17</v>
      </c>
      <c r="L19" s="15" t="s">
        <v>29</v>
      </c>
      <c r="M19" s="8">
        <v>1</v>
      </c>
      <c r="N19" s="17">
        <v>1</v>
      </c>
      <c r="O19" s="32">
        <v>4.5</v>
      </c>
      <c r="P19" s="18">
        <f t="shared" si="14"/>
        <v>630</v>
      </c>
      <c r="Q19" s="27">
        <f t="shared" si="15"/>
        <v>4.5</v>
      </c>
      <c r="R19" s="19">
        <f>Q19/Q24</f>
        <v>1.3151455625680096E-2</v>
      </c>
      <c r="S19" s="147"/>
    </row>
    <row r="20" spans="1:19" ht="15.75" customHeight="1" x14ac:dyDescent="0.25">
      <c r="A20" s="8">
        <v>18</v>
      </c>
      <c r="B20" s="20" t="s">
        <v>30</v>
      </c>
      <c r="C20" s="33">
        <v>1</v>
      </c>
      <c r="D20" s="22">
        <v>0.16666666699999999</v>
      </c>
      <c r="E20" s="34">
        <f>154/6</f>
        <v>25.666666666666668</v>
      </c>
      <c r="F20" s="23">
        <f t="shared" si="12"/>
        <v>3593.3333333333335</v>
      </c>
      <c r="G20" s="27">
        <f t="shared" si="13"/>
        <v>25.666666666666668</v>
      </c>
      <c r="H20" s="24">
        <f>G20/G24</f>
        <v>6.1180274634592823E-2</v>
      </c>
      <c r="I20" s="148"/>
      <c r="J20" s="7"/>
      <c r="K20" s="8">
        <v>18</v>
      </c>
      <c r="L20" s="20" t="s">
        <v>30</v>
      </c>
      <c r="M20" s="33">
        <v>1</v>
      </c>
      <c r="N20" s="22">
        <v>1</v>
      </c>
      <c r="O20" s="35">
        <v>6.55</v>
      </c>
      <c r="P20" s="23">
        <f t="shared" si="14"/>
        <v>917</v>
      </c>
      <c r="Q20" s="27">
        <f t="shared" si="15"/>
        <v>6.55</v>
      </c>
      <c r="R20" s="24">
        <f>Q20/Q24</f>
        <v>1.9142674299601026E-2</v>
      </c>
      <c r="S20" s="148"/>
    </row>
    <row r="21" spans="1:19" ht="15.75" customHeight="1" x14ac:dyDescent="0.25">
      <c r="A21" s="7"/>
      <c r="B21" s="36" t="s">
        <v>31</v>
      </c>
      <c r="C21" s="37"/>
      <c r="D21" s="37"/>
      <c r="E21" s="37"/>
      <c r="F21" s="37"/>
      <c r="G21" s="38">
        <f>SUM(G4+G5+G6+G7+G8+G9+G10+G11+G12+G13+G14++G15+G16+G17+G18+G19+G20)</f>
        <v>334.52519533402204</v>
      </c>
      <c r="H21" s="39"/>
      <c r="I21" s="40"/>
      <c r="J21" s="7"/>
      <c r="K21" s="7"/>
      <c r="L21" s="36" t="s">
        <v>31</v>
      </c>
      <c r="M21" s="37"/>
      <c r="N21" s="37"/>
      <c r="O21" s="37"/>
      <c r="P21" s="37"/>
      <c r="Q21" s="38">
        <f>SUM(Q4+Q5+Q6+Q7+Q8+Q9+Q10+Q11+Q12+Q13+Q14++Q15+Q16+Q17+Q18+Q19+Q20)</f>
        <v>238.1674473214286</v>
      </c>
      <c r="R21" s="39"/>
      <c r="S21" s="40"/>
    </row>
    <row r="22" spans="1:19" ht="15.75" customHeight="1" x14ac:dyDescent="0.25">
      <c r="A22" s="41">
        <v>19</v>
      </c>
      <c r="B22" s="42" t="s">
        <v>32</v>
      </c>
      <c r="C22" s="43">
        <v>1</v>
      </c>
      <c r="D22" s="43">
        <v>1</v>
      </c>
      <c r="E22" s="44">
        <v>85</v>
      </c>
      <c r="F22" s="44">
        <f>E22*133</f>
        <v>11305</v>
      </c>
      <c r="G22" s="45">
        <f>E22</f>
        <v>85</v>
      </c>
      <c r="H22" s="46">
        <f>G22/G24</f>
        <v>0.20261000041326194</v>
      </c>
      <c r="I22" s="47">
        <f>G22</f>
        <v>85</v>
      </c>
      <c r="J22" s="7"/>
      <c r="K22" s="41">
        <v>19</v>
      </c>
      <c r="L22" s="42" t="s">
        <v>33</v>
      </c>
      <c r="M22" s="43">
        <v>1</v>
      </c>
      <c r="N22" s="43">
        <v>1</v>
      </c>
      <c r="O22" s="31">
        <v>100</v>
      </c>
      <c r="P22" s="44">
        <f t="shared" ref="P22:P23" si="16">O22*133</f>
        <v>13300</v>
      </c>
      <c r="Q22" s="45">
        <f t="shared" ref="Q22:Q23" si="17">O22</f>
        <v>100</v>
      </c>
      <c r="R22" s="46">
        <f>Q22/Q24</f>
        <v>0.29225456945955769</v>
      </c>
      <c r="S22" s="47">
        <f t="shared" ref="S22:S23" si="18">Q22</f>
        <v>100</v>
      </c>
    </row>
    <row r="23" spans="1:19" ht="15.75" customHeight="1" x14ac:dyDescent="0.25">
      <c r="A23" s="48"/>
      <c r="B23" s="49"/>
      <c r="C23" s="50"/>
      <c r="D23" s="50"/>
      <c r="E23" s="50"/>
      <c r="F23" s="50"/>
      <c r="G23" s="51"/>
      <c r="H23" s="39"/>
      <c r="I23" s="52"/>
      <c r="J23" s="7"/>
      <c r="K23" s="48">
        <v>20</v>
      </c>
      <c r="L23" s="49" t="s">
        <v>34</v>
      </c>
      <c r="M23" s="50">
        <v>1</v>
      </c>
      <c r="N23" s="50">
        <v>1</v>
      </c>
      <c r="O23" s="31">
        <f>2+2</f>
        <v>4</v>
      </c>
      <c r="P23" s="44">
        <f t="shared" si="16"/>
        <v>532</v>
      </c>
      <c r="Q23" s="45">
        <f t="shared" si="17"/>
        <v>4</v>
      </c>
      <c r="R23" s="46">
        <f>Q23/Q24</f>
        <v>1.1690182778382307E-2</v>
      </c>
      <c r="S23" s="47">
        <f t="shared" si="18"/>
        <v>4</v>
      </c>
    </row>
    <row r="24" spans="1:19" ht="15.75" customHeight="1" x14ac:dyDescent="0.25">
      <c r="A24" s="53"/>
      <c r="B24" s="49" t="s">
        <v>35</v>
      </c>
      <c r="C24" s="50"/>
      <c r="D24" s="50"/>
      <c r="E24" s="50"/>
      <c r="F24" s="50"/>
      <c r="G24" s="54">
        <f>G21+G22</f>
        <v>419.52519533402204</v>
      </c>
      <c r="H24" s="39"/>
      <c r="I24" s="52"/>
      <c r="J24" s="7"/>
      <c r="K24" s="53"/>
      <c r="L24" s="49" t="s">
        <v>35</v>
      </c>
      <c r="M24" s="50"/>
      <c r="N24" s="50"/>
      <c r="O24" s="50"/>
      <c r="P24" s="50"/>
      <c r="Q24" s="54">
        <f>Q21+Q22+Q23</f>
        <v>342.1674473214286</v>
      </c>
      <c r="R24" s="39"/>
      <c r="S24" s="52"/>
    </row>
    <row r="25" spans="1:19" ht="15.75" customHeight="1" x14ac:dyDescent="0.25">
      <c r="A25" s="1"/>
      <c r="B25" s="1"/>
      <c r="C25" s="1"/>
      <c r="D25" s="1"/>
      <c r="E25" s="1"/>
      <c r="F25" s="55"/>
      <c r="G25" s="1"/>
      <c r="H25" s="1"/>
      <c r="I25" s="1"/>
      <c r="J25" s="1"/>
      <c r="K25" s="1"/>
      <c r="L25" s="1"/>
      <c r="M25" s="1"/>
      <c r="N25" s="1"/>
      <c r="O25" s="1"/>
      <c r="P25" s="55"/>
      <c r="Q25" s="1"/>
      <c r="R25" s="1"/>
      <c r="S25" s="1"/>
    </row>
    <row r="26" spans="1:19" ht="15.75" customHeight="1" x14ac:dyDescent="0.25">
      <c r="A26" s="1"/>
      <c r="B26" s="1"/>
      <c r="C26" s="1"/>
      <c r="D26" s="1"/>
      <c r="E26" s="1"/>
      <c r="F26" s="56" t="s">
        <v>36</v>
      </c>
      <c r="G26" s="57"/>
      <c r="H26" s="57"/>
      <c r="I26" s="58">
        <f>I4+I16+I22</f>
        <v>419.52519533402204</v>
      </c>
      <c r="J26" s="1"/>
      <c r="K26" s="1"/>
      <c r="L26" s="1"/>
      <c r="M26" s="59" t="s">
        <v>37</v>
      </c>
      <c r="N26" s="60">
        <f>I26/S26-1</f>
        <v>0.22608155339781466</v>
      </c>
      <c r="O26" s="1"/>
      <c r="P26" s="56" t="s">
        <v>36</v>
      </c>
      <c r="Q26" s="57"/>
      <c r="R26" s="57"/>
      <c r="S26" s="58">
        <f>S4+S16+S22+S23</f>
        <v>342.16744732142854</v>
      </c>
    </row>
    <row r="27" spans="1:19" ht="15.75" customHeight="1" x14ac:dyDescent="0.25">
      <c r="A27" s="1"/>
      <c r="B27" s="1"/>
      <c r="C27" s="1"/>
      <c r="D27" s="1"/>
      <c r="E27" s="1"/>
      <c r="F27" s="61"/>
      <c r="G27" s="1"/>
      <c r="H27" s="1"/>
      <c r="I27" s="7"/>
      <c r="J27" s="1"/>
      <c r="K27" s="1"/>
      <c r="L27" s="1"/>
      <c r="M27" s="59" t="s">
        <v>38</v>
      </c>
      <c r="N27" s="62">
        <f>I26-S26</f>
        <v>77.357748012593504</v>
      </c>
      <c r="O27" s="1"/>
      <c r="P27" s="61"/>
      <c r="Q27" s="1"/>
      <c r="R27" s="1"/>
      <c r="S27" s="7"/>
    </row>
    <row r="28" spans="1:19" ht="15.75" customHeight="1" x14ac:dyDescent="0.25">
      <c r="A28" s="1"/>
      <c r="B28" s="1"/>
      <c r="C28" s="1"/>
      <c r="D28" s="1"/>
      <c r="E28" s="1"/>
      <c r="F28" s="56" t="s">
        <v>39</v>
      </c>
      <c r="G28" s="57"/>
      <c r="H28" s="57"/>
      <c r="I28" s="58"/>
      <c r="J28" s="1"/>
      <c r="K28" s="1"/>
      <c r="L28" s="1"/>
      <c r="M28" s="1"/>
      <c r="N28" s="1"/>
      <c r="O28" s="1"/>
      <c r="P28" s="56" t="s">
        <v>39</v>
      </c>
      <c r="Q28" s="57"/>
      <c r="R28" s="57"/>
      <c r="S28" s="58"/>
    </row>
    <row r="29" spans="1:19" ht="15.75" customHeight="1" x14ac:dyDescent="0.25">
      <c r="A29" s="1"/>
      <c r="B29" s="1"/>
      <c r="C29" s="1"/>
      <c r="D29" s="1"/>
      <c r="E29" s="1"/>
      <c r="F29" s="61"/>
      <c r="G29" s="1"/>
      <c r="H29" s="1"/>
      <c r="I29" s="7"/>
      <c r="J29" s="1"/>
      <c r="K29" s="1"/>
      <c r="L29" s="1"/>
      <c r="M29" s="1"/>
      <c r="N29" s="1"/>
      <c r="O29" s="1"/>
      <c r="P29" s="61"/>
      <c r="Q29" s="1"/>
      <c r="R29" s="1"/>
      <c r="S29" s="7"/>
    </row>
    <row r="30" spans="1:19" ht="15.75" customHeight="1" x14ac:dyDescent="0.25">
      <c r="A30" s="1"/>
      <c r="B30" s="1"/>
      <c r="C30" s="1"/>
      <c r="D30" s="1"/>
      <c r="E30" s="1"/>
      <c r="F30" s="56" t="s">
        <v>40</v>
      </c>
      <c r="G30" s="57"/>
      <c r="H30" s="57"/>
      <c r="I30" s="58">
        <f>SUM(I26+I28)</f>
        <v>419.52519533402204</v>
      </c>
      <c r="J30" s="1"/>
      <c r="K30" s="1"/>
      <c r="L30" s="1"/>
      <c r="M30" s="1"/>
      <c r="N30" s="1"/>
      <c r="O30" s="1"/>
      <c r="P30" s="56" t="s">
        <v>40</v>
      </c>
      <c r="Q30" s="57"/>
      <c r="R30" s="57"/>
      <c r="S30" s="58">
        <f>SUM(S26+S28)</f>
        <v>342.16744732142854</v>
      </c>
    </row>
    <row r="31" spans="1:19" ht="15.75" customHeight="1" x14ac:dyDescent="0.25">
      <c r="A31" s="1"/>
      <c r="B31" s="1"/>
      <c r="C31" s="1"/>
      <c r="D31" s="1"/>
      <c r="E31" s="1"/>
      <c r="F31" s="61"/>
      <c r="G31" s="1"/>
      <c r="H31" s="1"/>
      <c r="I31" s="7"/>
      <c r="J31" s="1"/>
      <c r="K31" s="1"/>
      <c r="L31" s="1"/>
      <c r="M31" s="1"/>
      <c r="N31" s="1"/>
      <c r="O31" s="1"/>
      <c r="P31" s="61"/>
      <c r="Q31" s="1"/>
      <c r="R31" s="1"/>
      <c r="S31" s="7"/>
    </row>
    <row r="32" spans="1:19" ht="15.75" customHeight="1" x14ac:dyDescent="0.25">
      <c r="A32" s="1"/>
      <c r="B32" s="1"/>
      <c r="C32" s="1"/>
      <c r="D32" s="1"/>
      <c r="E32" s="1"/>
      <c r="F32" s="56" t="s">
        <v>41</v>
      </c>
      <c r="G32" s="57"/>
      <c r="H32" s="57"/>
      <c r="I32" s="58">
        <f>I26*0.21</f>
        <v>88.100291020144624</v>
      </c>
      <c r="J32" s="1"/>
      <c r="K32" s="1"/>
      <c r="L32" s="1"/>
      <c r="M32" s="1"/>
      <c r="N32" s="1"/>
      <c r="O32" s="1"/>
      <c r="P32" s="56" t="s">
        <v>41</v>
      </c>
      <c r="Q32" s="57"/>
      <c r="R32" s="57"/>
      <c r="S32" s="58">
        <f>S26*0.21</f>
        <v>71.855163937499995</v>
      </c>
    </row>
    <row r="33" spans="1:19" ht="15.75" customHeight="1" x14ac:dyDescent="0.25">
      <c r="A33" s="1"/>
      <c r="B33" s="1"/>
      <c r="C33" s="1"/>
      <c r="D33" s="1"/>
      <c r="E33" s="1"/>
      <c r="F33" s="63"/>
      <c r="G33" s="1"/>
      <c r="H33" s="1"/>
      <c r="I33" s="64"/>
      <c r="J33" s="1"/>
      <c r="K33" s="1"/>
      <c r="L33" s="1"/>
      <c r="M33" s="1"/>
      <c r="N33" s="1"/>
      <c r="O33" s="1"/>
      <c r="P33" s="63"/>
      <c r="Q33" s="1"/>
      <c r="R33" s="1"/>
      <c r="S33" s="64"/>
    </row>
    <row r="34" spans="1:19" ht="15.75" customHeight="1" x14ac:dyDescent="0.25">
      <c r="A34" s="1"/>
      <c r="B34" s="1"/>
      <c r="C34" s="1"/>
      <c r="D34" s="1"/>
      <c r="E34" s="1"/>
      <c r="F34" s="56" t="s">
        <v>42</v>
      </c>
      <c r="G34" s="57"/>
      <c r="H34" s="57"/>
      <c r="I34" s="58">
        <f>I30+I32</f>
        <v>507.6254863541667</v>
      </c>
      <c r="J34" s="1"/>
      <c r="K34" s="1"/>
      <c r="L34" s="1"/>
      <c r="M34" s="1"/>
      <c r="N34" s="1"/>
      <c r="O34" s="1"/>
      <c r="P34" s="56" t="s">
        <v>42</v>
      </c>
      <c r="Q34" s="57"/>
      <c r="R34" s="57"/>
      <c r="S34" s="58">
        <f>S30+S32</f>
        <v>414.02261125892852</v>
      </c>
    </row>
    <row r="35" spans="1:1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65" t="s">
        <v>43</v>
      </c>
      <c r="M37" s="65"/>
      <c r="N37" s="65"/>
      <c r="O37" s="1"/>
      <c r="P37" s="1"/>
      <c r="Q37" s="1"/>
      <c r="R37" s="1"/>
      <c r="S37" s="1"/>
    </row>
    <row r="38" spans="1:1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65" t="s">
        <v>44</v>
      </c>
      <c r="M38" s="65"/>
      <c r="N38" s="65"/>
      <c r="O38" s="1"/>
      <c r="P38" s="1"/>
      <c r="Q38" s="1"/>
      <c r="R38" s="1"/>
      <c r="S38" s="1"/>
    </row>
    <row r="39" spans="1:1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65" t="s">
        <v>45</v>
      </c>
      <c r="M39" s="65" t="s">
        <v>46</v>
      </c>
      <c r="N39" s="65"/>
      <c r="O39" s="1"/>
      <c r="P39" s="1"/>
      <c r="Q39" s="1"/>
      <c r="R39" s="1"/>
      <c r="S39" s="1"/>
    </row>
    <row r="40" spans="1:1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mergeCells count="4">
    <mergeCell ref="I4:I15"/>
    <mergeCell ref="S4:S15"/>
    <mergeCell ref="I16:I20"/>
    <mergeCell ref="S16:S20"/>
  </mergeCells>
  <pageMargins left="0.25" right="0.25" top="0.75" bottom="0.75" header="0.3" footer="0.3"/>
  <pageSetup paperSize="9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J1000"/>
  <sheetViews>
    <sheetView topLeftCell="A7" workbookViewId="0">
      <selection activeCell="E6" sqref="E6"/>
    </sheetView>
  </sheetViews>
  <sheetFormatPr baseColWidth="10" defaultColWidth="11.25" defaultRowHeight="15" customHeight="1" x14ac:dyDescent="0.25"/>
  <cols>
    <col min="1" max="1" width="3.75" customWidth="1"/>
    <col min="2" max="2" width="21.5" customWidth="1"/>
    <col min="3" max="3" width="10.5" customWidth="1"/>
    <col min="4" max="4" width="14.875" bestFit="1" customWidth="1"/>
    <col min="5" max="5" width="8.375" customWidth="1"/>
    <col min="6" max="6" width="19.875" bestFit="1" customWidth="1"/>
    <col min="7" max="7" width="11.5" customWidth="1"/>
    <col min="8" max="8" width="5.75" customWidth="1"/>
    <col min="9" max="9" width="7.125" customWidth="1"/>
    <col min="10" max="10" width="30.25" customWidth="1"/>
    <col min="11" max="21" width="10.5" customWidth="1"/>
  </cols>
  <sheetData>
    <row r="1" spans="1:9" ht="21" x14ac:dyDescent="0.35">
      <c r="A1" s="66"/>
      <c r="B1" s="67" t="s">
        <v>0</v>
      </c>
      <c r="C1" s="68"/>
      <c r="D1" s="66"/>
      <c r="E1" s="69" t="s">
        <v>2</v>
      </c>
      <c r="F1" s="70" t="s">
        <v>47</v>
      </c>
      <c r="G1" s="66"/>
      <c r="H1" s="66"/>
      <c r="I1" s="66"/>
    </row>
    <row r="2" spans="1:9" ht="15.75" x14ac:dyDescent="0.25">
      <c r="A2" s="66"/>
      <c r="B2" s="66"/>
      <c r="C2" s="66"/>
      <c r="D2" s="66"/>
      <c r="E2" s="66"/>
      <c r="F2" s="66"/>
      <c r="G2" s="66"/>
      <c r="H2" s="66"/>
      <c r="I2" s="66"/>
    </row>
    <row r="3" spans="1:9" ht="15.75" x14ac:dyDescent="0.25">
      <c r="A3" s="71" t="s">
        <v>5</v>
      </c>
      <c r="B3" s="71" t="s">
        <v>6</v>
      </c>
      <c r="C3" s="71" t="s">
        <v>7</v>
      </c>
      <c r="D3" s="71" t="s">
        <v>8</v>
      </c>
      <c r="E3" s="71" t="s">
        <v>9</v>
      </c>
      <c r="F3" s="71" t="s">
        <v>10</v>
      </c>
      <c r="G3" s="71" t="s">
        <v>11</v>
      </c>
      <c r="H3" s="72" t="s">
        <v>12</v>
      </c>
      <c r="I3" s="71" t="s">
        <v>13</v>
      </c>
    </row>
    <row r="4" spans="1:9" ht="15.75" x14ac:dyDescent="0.25">
      <c r="A4" s="73">
        <v>1</v>
      </c>
      <c r="B4" s="74" t="s">
        <v>14</v>
      </c>
      <c r="C4" s="75">
        <v>1000</v>
      </c>
      <c r="D4" s="76">
        <f t="shared" ref="D4:D5" si="0">25*100</f>
        <v>2500</v>
      </c>
      <c r="E4" s="77">
        <v>330</v>
      </c>
      <c r="F4" s="77">
        <f t="shared" ref="F4:F16" si="1">E4/C4*D4</f>
        <v>825</v>
      </c>
      <c r="G4" s="78">
        <f t="shared" ref="G4:G16" si="2">F4/105*0.75</f>
        <v>5.8928571428571423</v>
      </c>
      <c r="H4" s="79">
        <f>G4/G24</f>
        <v>1.1357681715714251E-2</v>
      </c>
      <c r="I4" s="150">
        <f>SUM(G4:G16)</f>
        <v>266.86330714285714</v>
      </c>
    </row>
    <row r="5" spans="1:9" ht="15.75" x14ac:dyDescent="0.25">
      <c r="A5" s="73">
        <v>2</v>
      </c>
      <c r="B5" s="80" t="s">
        <v>15</v>
      </c>
      <c r="C5" s="81">
        <v>1000</v>
      </c>
      <c r="D5" s="82">
        <f t="shared" si="0"/>
        <v>2500</v>
      </c>
      <c r="E5" s="83">
        <v>3</v>
      </c>
      <c r="F5" s="83">
        <f t="shared" si="1"/>
        <v>7.5</v>
      </c>
      <c r="G5" s="78">
        <f t="shared" si="2"/>
        <v>5.3571428571428568E-2</v>
      </c>
      <c r="H5" s="84">
        <f>G5/G24</f>
        <v>1.0325165196103865E-4</v>
      </c>
      <c r="I5" s="147"/>
    </row>
    <row r="6" spans="1:9" ht="15.75" x14ac:dyDescent="0.25">
      <c r="A6" s="73">
        <v>3</v>
      </c>
      <c r="B6" s="80" t="s">
        <v>16</v>
      </c>
      <c r="C6" s="81">
        <v>1000</v>
      </c>
      <c r="D6" s="82">
        <f>600*100</f>
        <v>60000</v>
      </c>
      <c r="E6" s="83">
        <f>(189.64*1000/750)*1.21</f>
        <v>305.95253333333329</v>
      </c>
      <c r="F6" s="83">
        <f t="shared" si="1"/>
        <v>18357.151999999998</v>
      </c>
      <c r="G6" s="78">
        <f t="shared" si="2"/>
        <v>131.12251428571426</v>
      </c>
      <c r="H6" s="84">
        <f>G6/G24</f>
        <v>0.25272083590665123</v>
      </c>
      <c r="I6" s="147"/>
    </row>
    <row r="7" spans="1:9" ht="15.75" x14ac:dyDescent="0.25">
      <c r="A7" s="73">
        <v>4</v>
      </c>
      <c r="B7" s="80" t="s">
        <v>17</v>
      </c>
      <c r="C7" s="81">
        <v>1000</v>
      </c>
      <c r="D7" s="82">
        <f t="shared" ref="D7:D8" si="3">200*100</f>
        <v>20000</v>
      </c>
      <c r="E7" s="83">
        <f>(375*1000/750)*1.21</f>
        <v>605</v>
      </c>
      <c r="F7" s="83">
        <f t="shared" si="1"/>
        <v>12100</v>
      </c>
      <c r="G7" s="78">
        <f t="shared" si="2"/>
        <v>86.428571428571431</v>
      </c>
      <c r="H7" s="84">
        <f>G7/G24</f>
        <v>0.16657933183047571</v>
      </c>
      <c r="I7" s="147"/>
    </row>
    <row r="8" spans="1:9" ht="15.75" x14ac:dyDescent="0.25">
      <c r="A8" s="73">
        <v>5</v>
      </c>
      <c r="B8" s="80" t="s">
        <v>48</v>
      </c>
      <c r="C8" s="81">
        <v>1000</v>
      </c>
      <c r="D8" s="82">
        <f t="shared" si="3"/>
        <v>20000</v>
      </c>
      <c r="E8" s="83">
        <f>(176.61*1000/750)*1.21</f>
        <v>284.93079999999998</v>
      </c>
      <c r="F8" s="83">
        <f t="shared" si="1"/>
        <v>5698.616</v>
      </c>
      <c r="G8" s="78">
        <f t="shared" si="2"/>
        <v>40.7044</v>
      </c>
      <c r="H8" s="84">
        <f>G8/G24</f>
        <v>7.8452202118880834E-2</v>
      </c>
      <c r="I8" s="147"/>
    </row>
    <row r="9" spans="1:9" ht="15.75" x14ac:dyDescent="0.25">
      <c r="A9" s="73">
        <v>6</v>
      </c>
      <c r="B9" s="80" t="s">
        <v>49</v>
      </c>
      <c r="C9" s="81">
        <v>1000</v>
      </c>
      <c r="D9" s="82">
        <f>150*5</f>
        <v>750</v>
      </c>
      <c r="E9" s="83">
        <v>70</v>
      </c>
      <c r="F9" s="83">
        <f t="shared" si="1"/>
        <v>52.500000000000007</v>
      </c>
      <c r="G9" s="78">
        <f t="shared" si="2"/>
        <v>0.37500000000000011</v>
      </c>
      <c r="H9" s="84">
        <f>G9/G24</f>
        <v>7.2276156372727085E-4</v>
      </c>
      <c r="I9" s="147"/>
    </row>
    <row r="10" spans="1:9" ht="15.75" x14ac:dyDescent="0.25">
      <c r="A10" s="73">
        <v>7</v>
      </c>
      <c r="B10" s="80" t="s">
        <v>20</v>
      </c>
      <c r="C10" s="81">
        <v>1000</v>
      </c>
      <c r="D10" s="82">
        <f>6*5</f>
        <v>30</v>
      </c>
      <c r="E10" s="83">
        <v>3033</v>
      </c>
      <c r="F10" s="83">
        <f t="shared" si="1"/>
        <v>90.99</v>
      </c>
      <c r="G10" s="78">
        <f t="shared" si="2"/>
        <v>0.64992857142857141</v>
      </c>
      <c r="H10" s="84">
        <f>G10/G24</f>
        <v>1.2526490415913211E-3</v>
      </c>
      <c r="I10" s="147"/>
    </row>
    <row r="11" spans="1:9" ht="15.75" x14ac:dyDescent="0.25">
      <c r="A11" s="73">
        <v>8</v>
      </c>
      <c r="B11" s="80" t="s">
        <v>21</v>
      </c>
      <c r="C11" s="81">
        <v>1000</v>
      </c>
      <c r="D11" s="82">
        <f t="shared" ref="D11:D12" si="4">2*5</f>
        <v>10</v>
      </c>
      <c r="E11" s="83">
        <v>5941</v>
      </c>
      <c r="F11" s="83">
        <f t="shared" si="1"/>
        <v>59.41</v>
      </c>
      <c r="G11" s="78">
        <f t="shared" si="2"/>
        <v>0.42435714285714282</v>
      </c>
      <c r="H11" s="84">
        <f>G11/G24</f>
        <v>8.1789075240070754E-4</v>
      </c>
      <c r="I11" s="147"/>
    </row>
    <row r="12" spans="1:9" ht="15.75" x14ac:dyDescent="0.25">
      <c r="A12" s="73">
        <v>9</v>
      </c>
      <c r="B12" s="80" t="s">
        <v>22</v>
      </c>
      <c r="C12" s="81">
        <v>1000</v>
      </c>
      <c r="D12" s="82">
        <f t="shared" si="4"/>
        <v>10</v>
      </c>
      <c r="E12" s="83">
        <v>3346</v>
      </c>
      <c r="F12" s="83">
        <f t="shared" si="1"/>
        <v>33.46</v>
      </c>
      <c r="G12" s="78">
        <f t="shared" si="2"/>
        <v>0.23899999999999999</v>
      </c>
      <c r="H12" s="84">
        <f>G12/G24</f>
        <v>4.606400366155138E-4</v>
      </c>
      <c r="I12" s="147"/>
    </row>
    <row r="13" spans="1:9" ht="15.75" x14ac:dyDescent="0.25">
      <c r="A13" s="73">
        <v>10</v>
      </c>
      <c r="B13" s="80" t="s">
        <v>23</v>
      </c>
      <c r="C13" s="81">
        <v>1000</v>
      </c>
      <c r="D13" s="82">
        <f>0.45*5</f>
        <v>2.25</v>
      </c>
      <c r="E13" s="83">
        <v>12300</v>
      </c>
      <c r="F13" s="83">
        <f t="shared" si="1"/>
        <v>27.675000000000001</v>
      </c>
      <c r="G13" s="78">
        <f t="shared" si="2"/>
        <v>0.19767857142857143</v>
      </c>
      <c r="H13" s="84">
        <f>G13/G24</f>
        <v>3.8099859573623266E-4</v>
      </c>
      <c r="I13" s="147"/>
    </row>
    <row r="14" spans="1:9" ht="15.75" x14ac:dyDescent="0.25">
      <c r="A14" s="73">
        <v>11</v>
      </c>
      <c r="B14" s="80" t="s">
        <v>24</v>
      </c>
      <c r="C14" s="81">
        <v>1000</v>
      </c>
      <c r="D14" s="82">
        <f>4*5</f>
        <v>20</v>
      </c>
      <c r="E14" s="83">
        <v>378</v>
      </c>
      <c r="F14" s="83">
        <f t="shared" si="1"/>
        <v>7.5600000000000005</v>
      </c>
      <c r="G14" s="78">
        <f t="shared" si="2"/>
        <v>5.4000000000000006E-2</v>
      </c>
      <c r="H14" s="84">
        <f>G14/G24</f>
        <v>1.0407766517672699E-4</v>
      </c>
      <c r="I14" s="147"/>
    </row>
    <row r="15" spans="1:9" ht="15.75" x14ac:dyDescent="0.25">
      <c r="A15" s="73">
        <v>12</v>
      </c>
      <c r="B15" s="80" t="s">
        <v>50</v>
      </c>
      <c r="C15" s="81">
        <v>1000</v>
      </c>
      <c r="D15" s="82">
        <f>1*5</f>
        <v>5</v>
      </c>
      <c r="E15" s="83">
        <v>13000</v>
      </c>
      <c r="F15" s="83">
        <f t="shared" si="1"/>
        <v>65</v>
      </c>
      <c r="G15" s="78">
        <f t="shared" si="2"/>
        <v>0.4642857142857143</v>
      </c>
      <c r="H15" s="84">
        <f>G15/G24</f>
        <v>8.9484765032900174E-4</v>
      </c>
      <c r="I15" s="147"/>
    </row>
    <row r="16" spans="1:9" ht="15.75" x14ac:dyDescent="0.25">
      <c r="A16" s="73">
        <v>13</v>
      </c>
      <c r="B16" s="85" t="s">
        <v>51</v>
      </c>
      <c r="C16" s="86">
        <v>1000</v>
      </c>
      <c r="D16" s="87">
        <f>8*5*10</f>
        <v>400</v>
      </c>
      <c r="E16" s="88">
        <v>90</v>
      </c>
      <c r="F16" s="88">
        <f t="shared" si="1"/>
        <v>36</v>
      </c>
      <c r="G16" s="78">
        <f t="shared" si="2"/>
        <v>0.25714285714285712</v>
      </c>
      <c r="H16" s="89">
        <f>G16/G24</f>
        <v>4.956079294129855E-4</v>
      </c>
      <c r="I16" s="148"/>
    </row>
    <row r="17" spans="1:9" ht="15.75" x14ac:dyDescent="0.25">
      <c r="A17" s="73">
        <v>14</v>
      </c>
      <c r="B17" s="74" t="s">
        <v>52</v>
      </c>
      <c r="C17" s="90">
        <v>1</v>
      </c>
      <c r="D17" s="76">
        <v>1</v>
      </c>
      <c r="E17" s="91">
        <v>31</v>
      </c>
      <c r="F17" s="77">
        <f t="shared" ref="F17:F21" si="5">E17*140</f>
        <v>4340</v>
      </c>
      <c r="G17" s="92">
        <f t="shared" ref="G17:G21" si="6">E17</f>
        <v>31</v>
      </c>
      <c r="H17" s="79">
        <f>G17/G24</f>
        <v>5.9748289268121035E-2</v>
      </c>
      <c r="I17" s="151">
        <f>SUM(G17:G21)</f>
        <v>186.98</v>
      </c>
    </row>
    <row r="18" spans="1:9" ht="15.75" x14ac:dyDescent="0.25">
      <c r="A18" s="73">
        <v>15</v>
      </c>
      <c r="B18" s="80" t="s">
        <v>27</v>
      </c>
      <c r="C18" s="73">
        <v>1</v>
      </c>
      <c r="D18" s="82">
        <v>1</v>
      </c>
      <c r="E18" s="93">
        <v>8</v>
      </c>
      <c r="F18" s="83">
        <f t="shared" si="5"/>
        <v>1120</v>
      </c>
      <c r="G18" s="92">
        <f t="shared" si="6"/>
        <v>8</v>
      </c>
      <c r="H18" s="84">
        <f>G18/G24</f>
        <v>1.5418913359515106E-2</v>
      </c>
      <c r="I18" s="147"/>
    </row>
    <row r="19" spans="1:9" ht="15.75" x14ac:dyDescent="0.25">
      <c r="A19" s="73">
        <v>16</v>
      </c>
      <c r="B19" s="80" t="s">
        <v>28</v>
      </c>
      <c r="C19" s="73">
        <v>1</v>
      </c>
      <c r="D19" s="82">
        <v>1</v>
      </c>
      <c r="E19" s="93">
        <v>120</v>
      </c>
      <c r="F19" s="83">
        <f t="shared" si="5"/>
        <v>16800</v>
      </c>
      <c r="G19" s="92">
        <f t="shared" si="6"/>
        <v>120</v>
      </c>
      <c r="H19" s="84">
        <f>G19/G24</f>
        <v>0.23128370039272661</v>
      </c>
      <c r="I19" s="147"/>
    </row>
    <row r="20" spans="1:9" ht="15.75" x14ac:dyDescent="0.25">
      <c r="A20" s="73">
        <v>17</v>
      </c>
      <c r="B20" s="80" t="s">
        <v>29</v>
      </c>
      <c r="C20" s="73">
        <v>1</v>
      </c>
      <c r="D20" s="82">
        <v>1</v>
      </c>
      <c r="E20" s="93">
        <v>2.38</v>
      </c>
      <c r="F20" s="83">
        <f t="shared" si="5"/>
        <v>333.2</v>
      </c>
      <c r="G20" s="92">
        <f t="shared" si="6"/>
        <v>2.38</v>
      </c>
      <c r="H20" s="84">
        <f>G20/G24</f>
        <v>4.5871267244557441E-3</v>
      </c>
      <c r="I20" s="147"/>
    </row>
    <row r="21" spans="1:9" ht="15.75" customHeight="1" x14ac:dyDescent="0.25">
      <c r="A21" s="73">
        <v>18</v>
      </c>
      <c r="B21" s="85" t="s">
        <v>30</v>
      </c>
      <c r="C21" s="94">
        <v>1</v>
      </c>
      <c r="D21" s="87">
        <v>0.16666666699999999</v>
      </c>
      <c r="E21" s="95">
        <f>153.6/6</f>
        <v>25.599999999999998</v>
      </c>
      <c r="F21" s="88">
        <f t="shared" si="5"/>
        <v>3583.9999999999995</v>
      </c>
      <c r="G21" s="92">
        <f t="shared" si="6"/>
        <v>25.599999999999998</v>
      </c>
      <c r="H21" s="89">
        <f>G21/G24</f>
        <v>4.934052275044834E-2</v>
      </c>
      <c r="I21" s="148"/>
    </row>
    <row r="22" spans="1:9" ht="15.75" customHeight="1" x14ac:dyDescent="0.25">
      <c r="A22" s="66"/>
      <c r="B22" s="96" t="s">
        <v>31</v>
      </c>
      <c r="C22" s="97"/>
      <c r="D22" s="97"/>
      <c r="E22" s="97"/>
      <c r="F22" s="97"/>
      <c r="G22" s="98">
        <f>SUM(G4+G5+G6+G7+G8+G9+G10+G11+G12+G13+G14+G15+G16+G17+G18+G19+G20+G21)</f>
        <v>453.84330714285716</v>
      </c>
      <c r="H22" s="99"/>
      <c r="I22" s="100"/>
    </row>
    <row r="23" spans="1:9" ht="15.75" customHeight="1" x14ac:dyDescent="0.25">
      <c r="A23" s="101">
        <v>19</v>
      </c>
      <c r="B23" s="102" t="s">
        <v>53</v>
      </c>
      <c r="C23" s="103">
        <v>1</v>
      </c>
      <c r="D23" s="103">
        <v>1</v>
      </c>
      <c r="E23" s="104">
        <v>65</v>
      </c>
      <c r="F23" s="104">
        <f>E23*133</f>
        <v>8645</v>
      </c>
      <c r="G23" s="105">
        <f>E23</f>
        <v>65</v>
      </c>
      <c r="H23" s="106">
        <f>G23/G24</f>
        <v>0.12527867104606025</v>
      </c>
      <c r="I23" s="107">
        <f>G23</f>
        <v>65</v>
      </c>
    </row>
    <row r="24" spans="1:9" ht="15.75" customHeight="1" x14ac:dyDescent="0.25">
      <c r="A24" s="108"/>
      <c r="B24" s="109" t="s">
        <v>35</v>
      </c>
      <c r="C24" s="110"/>
      <c r="D24" s="110"/>
      <c r="E24" s="110"/>
      <c r="F24" s="110"/>
      <c r="G24" s="111">
        <f>G22+G23</f>
        <v>518.84330714285716</v>
      </c>
      <c r="H24" s="99"/>
      <c r="I24" s="112"/>
    </row>
    <row r="25" spans="1:9" ht="15.75" customHeight="1" x14ac:dyDescent="0.25">
      <c r="A25" s="113"/>
      <c r="B25" s="66"/>
      <c r="C25" s="66"/>
      <c r="D25" s="66"/>
      <c r="E25" s="66"/>
      <c r="F25" s="114"/>
      <c r="G25" s="66"/>
      <c r="H25" s="66"/>
      <c r="I25" s="66"/>
    </row>
    <row r="26" spans="1:9" ht="15.75" customHeight="1" x14ac:dyDescent="0.25">
      <c r="A26" s="66"/>
      <c r="B26" s="66"/>
      <c r="C26" s="66"/>
      <c r="D26" s="66"/>
      <c r="E26" s="66"/>
      <c r="F26" s="71" t="s">
        <v>36</v>
      </c>
      <c r="G26" s="115"/>
      <c r="H26" s="115"/>
      <c r="I26" s="116">
        <f>I4+I17+I23</f>
        <v>518.84330714285716</v>
      </c>
    </row>
    <row r="27" spans="1:9" ht="15.75" customHeight="1" x14ac:dyDescent="0.25">
      <c r="A27" s="113"/>
      <c r="B27" s="66"/>
      <c r="C27" s="66"/>
      <c r="D27" s="66"/>
      <c r="E27" s="66"/>
      <c r="F27" s="117"/>
      <c r="I27" s="118"/>
    </row>
    <row r="28" spans="1:9" ht="15.75" customHeight="1" x14ac:dyDescent="0.25">
      <c r="A28" s="66"/>
      <c r="B28" s="66"/>
      <c r="C28" s="66"/>
      <c r="D28" s="66"/>
      <c r="E28" s="66"/>
      <c r="F28" s="71" t="s">
        <v>39</v>
      </c>
      <c r="G28" s="115"/>
      <c r="H28" s="115"/>
      <c r="I28" s="116"/>
    </row>
    <row r="29" spans="1:9" ht="15.75" customHeight="1" x14ac:dyDescent="0.25">
      <c r="A29" s="66"/>
      <c r="B29" s="66"/>
      <c r="C29" s="66"/>
      <c r="D29" s="66"/>
      <c r="E29" s="66"/>
      <c r="F29" s="117"/>
      <c r="I29" s="118"/>
    </row>
    <row r="30" spans="1:9" ht="15.75" customHeight="1" x14ac:dyDescent="0.25">
      <c r="A30" s="66"/>
      <c r="B30" s="66"/>
      <c r="C30" s="66"/>
      <c r="D30" s="66"/>
      <c r="E30" s="66"/>
      <c r="F30" s="71" t="s">
        <v>40</v>
      </c>
      <c r="G30" s="115"/>
      <c r="H30" s="115"/>
      <c r="I30" s="116">
        <f>SUM(I26+I28)</f>
        <v>518.84330714285716</v>
      </c>
    </row>
    <row r="31" spans="1:9" ht="15.75" customHeight="1" x14ac:dyDescent="0.25">
      <c r="A31" s="66"/>
      <c r="B31" s="66"/>
      <c r="C31" s="66"/>
      <c r="D31" s="66"/>
      <c r="E31" s="66"/>
      <c r="F31" s="117"/>
      <c r="I31" s="118"/>
    </row>
    <row r="32" spans="1:9" ht="15.75" customHeight="1" x14ac:dyDescent="0.25">
      <c r="A32" s="66"/>
      <c r="B32" s="66"/>
      <c r="C32" s="66"/>
      <c r="D32" s="66"/>
      <c r="E32" s="66"/>
      <c r="F32" s="71" t="s">
        <v>41</v>
      </c>
      <c r="G32" s="115"/>
      <c r="H32" s="115"/>
      <c r="I32" s="116">
        <f>I26*0.21</f>
        <v>108.9570945</v>
      </c>
    </row>
    <row r="33" spans="2:10" ht="15.75" customHeight="1" x14ac:dyDescent="0.25">
      <c r="F33" s="119"/>
      <c r="I33" s="120"/>
    </row>
    <row r="34" spans="2:10" ht="15.75" customHeight="1" x14ac:dyDescent="0.4">
      <c r="F34" s="71" t="s">
        <v>42</v>
      </c>
      <c r="G34" s="115"/>
      <c r="H34" s="115"/>
      <c r="I34" s="116">
        <f>I30+I32</f>
        <v>627.8004016428572</v>
      </c>
      <c r="J34" s="121" t="s">
        <v>54</v>
      </c>
    </row>
    <row r="35" spans="2:10" ht="15.75" customHeight="1" x14ac:dyDescent="0.25"/>
    <row r="36" spans="2:10" ht="15.75" customHeight="1" x14ac:dyDescent="0.25"/>
    <row r="37" spans="2:10" ht="15.75" customHeight="1" x14ac:dyDescent="0.25"/>
    <row r="38" spans="2:10" ht="15.75" customHeight="1" x14ac:dyDescent="0.25"/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4">
      <c r="B44" s="122"/>
    </row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I4:I16"/>
    <mergeCell ref="I17:I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I28"/>
  <sheetViews>
    <sheetView topLeftCell="A28" workbookViewId="0"/>
  </sheetViews>
  <sheetFormatPr baseColWidth="10" defaultColWidth="11.25" defaultRowHeight="15" customHeight="1" x14ac:dyDescent="0.25"/>
  <sheetData>
    <row r="2" spans="1:9" ht="15" customHeight="1" x14ac:dyDescent="0.25">
      <c r="A2" s="123"/>
      <c r="B2" s="124" t="s">
        <v>55</v>
      </c>
      <c r="C2" s="124" t="s">
        <v>56</v>
      </c>
      <c r="D2" s="124" t="s">
        <v>57</v>
      </c>
    </row>
    <row r="3" spans="1:9" ht="15" customHeight="1" x14ac:dyDescent="0.25">
      <c r="A3" s="125" t="s">
        <v>58</v>
      </c>
      <c r="B3" s="126">
        <f>700*1000/750</f>
        <v>933.33333333333337</v>
      </c>
      <c r="C3" s="127">
        <v>120</v>
      </c>
      <c r="D3" s="128">
        <f t="shared" ref="D3:D6" si="0">C3*B3/1000</f>
        <v>112</v>
      </c>
    </row>
    <row r="4" spans="1:9" ht="15" customHeight="1" x14ac:dyDescent="0.25">
      <c r="A4" s="125" t="s">
        <v>59</v>
      </c>
      <c r="B4" s="129">
        <f>97.76*1/1.5</f>
        <v>65.173333333333332</v>
      </c>
      <c r="C4" s="127">
        <v>50</v>
      </c>
      <c r="D4" s="128">
        <f t="shared" si="0"/>
        <v>3.2586666666666666</v>
      </c>
    </row>
    <row r="5" spans="1:9" ht="15" customHeight="1" x14ac:dyDescent="0.25">
      <c r="A5" s="125" t="s">
        <v>60</v>
      </c>
      <c r="B5" s="127">
        <v>50</v>
      </c>
      <c r="C5" s="127">
        <v>15</v>
      </c>
      <c r="D5" s="128">
        <f t="shared" si="0"/>
        <v>0.75</v>
      </c>
    </row>
    <row r="6" spans="1:9" ht="15" customHeight="1" x14ac:dyDescent="0.25">
      <c r="A6" s="125" t="s">
        <v>61</v>
      </c>
      <c r="B6" s="127">
        <f>180*1/15</f>
        <v>12</v>
      </c>
      <c r="C6" s="127">
        <v>150</v>
      </c>
      <c r="D6" s="128">
        <f t="shared" si="0"/>
        <v>1.8</v>
      </c>
    </row>
    <row r="7" spans="1:9" ht="15" customHeight="1" x14ac:dyDescent="0.25">
      <c r="A7" s="123"/>
      <c r="B7" s="123"/>
      <c r="C7" s="123"/>
      <c r="D7" s="123"/>
    </row>
    <row r="8" spans="1:9" ht="15" customHeight="1" x14ac:dyDescent="0.25">
      <c r="A8" s="123"/>
      <c r="B8" s="123"/>
      <c r="C8" s="130" t="s">
        <v>62</v>
      </c>
      <c r="D8" s="131">
        <f>SUM(D3:D6)</f>
        <v>117.80866666666667</v>
      </c>
    </row>
    <row r="9" spans="1:9" ht="15" customHeight="1" x14ac:dyDescent="0.25">
      <c r="A9" s="123"/>
      <c r="B9" s="123"/>
      <c r="C9" s="123"/>
      <c r="D9" s="123"/>
    </row>
    <row r="10" spans="1:9" ht="15" customHeight="1" x14ac:dyDescent="0.25">
      <c r="A10" s="123"/>
      <c r="B10" s="123"/>
      <c r="C10" s="132" t="s">
        <v>63</v>
      </c>
      <c r="D10" s="133">
        <v>580</v>
      </c>
      <c r="E10" s="134" t="s">
        <v>64</v>
      </c>
    </row>
    <row r="11" spans="1:9" ht="15" customHeight="1" x14ac:dyDescent="0.25">
      <c r="A11" s="123"/>
      <c r="B11" s="123"/>
      <c r="C11" s="123"/>
      <c r="D11" s="123"/>
    </row>
    <row r="12" spans="1:9" ht="15" customHeight="1" x14ac:dyDescent="0.25">
      <c r="A12" s="123"/>
      <c r="B12" s="123"/>
      <c r="C12" s="132" t="s">
        <v>31</v>
      </c>
      <c r="D12" s="135">
        <f>D8/D10</f>
        <v>0.2031183908045977</v>
      </c>
      <c r="E12" s="134" t="s">
        <v>65</v>
      </c>
      <c r="F12" s="134"/>
      <c r="G12" s="134"/>
      <c r="H12" s="134"/>
    </row>
    <row r="16" spans="1:9" ht="15" customHeight="1" x14ac:dyDescent="0.25">
      <c r="I16" s="136"/>
    </row>
    <row r="17" spans="1:7" ht="15" customHeight="1" x14ac:dyDescent="0.25">
      <c r="A17" s="137" t="s">
        <v>66</v>
      </c>
      <c r="B17" s="137"/>
    </row>
    <row r="18" spans="1:7" ht="15" customHeight="1" x14ac:dyDescent="0.25">
      <c r="A18" s="123"/>
      <c r="B18" s="127" t="s">
        <v>55</v>
      </c>
      <c r="C18" s="127" t="s">
        <v>56</v>
      </c>
      <c r="D18" s="127" t="s">
        <v>57</v>
      </c>
    </row>
    <row r="19" spans="1:7" ht="15" customHeight="1" x14ac:dyDescent="0.25">
      <c r="A19" s="127" t="s">
        <v>58</v>
      </c>
      <c r="B19" s="126">
        <f>700*1000/750</f>
        <v>933.33333333333337</v>
      </c>
      <c r="C19" s="127">
        <v>120</v>
      </c>
      <c r="D19" s="128">
        <f t="shared" ref="D19:D22" si="1">C19*B19/1000</f>
        <v>112</v>
      </c>
    </row>
    <row r="20" spans="1:7" ht="15" customHeight="1" x14ac:dyDescent="0.25">
      <c r="A20" s="127" t="s">
        <v>59</v>
      </c>
      <c r="B20" s="129">
        <f>97.76*1/1.5</f>
        <v>65.173333333333332</v>
      </c>
      <c r="C20" s="127">
        <v>50</v>
      </c>
      <c r="D20" s="128">
        <f t="shared" si="1"/>
        <v>3.2586666666666666</v>
      </c>
    </row>
    <row r="21" spans="1:7" ht="15" customHeight="1" x14ac:dyDescent="0.25">
      <c r="A21" s="127" t="s">
        <v>60</v>
      </c>
      <c r="B21" s="127">
        <v>50</v>
      </c>
      <c r="C21" s="127">
        <v>15</v>
      </c>
      <c r="D21" s="128">
        <f t="shared" si="1"/>
        <v>0.75</v>
      </c>
    </row>
    <row r="22" spans="1:7" ht="15" customHeight="1" x14ac:dyDescent="0.25">
      <c r="A22" s="127" t="s">
        <v>61</v>
      </c>
      <c r="B22" s="127">
        <f>180*1/15</f>
        <v>12</v>
      </c>
      <c r="C22" s="127">
        <v>150</v>
      </c>
      <c r="D22" s="128">
        <f t="shared" si="1"/>
        <v>1.8</v>
      </c>
    </row>
    <row r="23" spans="1:7" ht="15" customHeight="1" x14ac:dyDescent="0.25">
      <c r="A23" s="123"/>
      <c r="B23" s="123"/>
      <c r="C23" s="123"/>
      <c r="D23" s="123"/>
    </row>
    <row r="24" spans="1:7" ht="15.75" x14ac:dyDescent="0.25">
      <c r="A24" s="123"/>
      <c r="B24" s="123"/>
      <c r="C24" s="138" t="s">
        <v>62</v>
      </c>
      <c r="D24" s="139">
        <f>SUM(D19:D22)</f>
        <v>117.80866666666667</v>
      </c>
      <c r="E24" s="140" t="s">
        <v>67</v>
      </c>
      <c r="F24" s="140"/>
      <c r="G24" s="140"/>
    </row>
    <row r="25" spans="1:7" ht="15.75" x14ac:dyDescent="0.25">
      <c r="A25" s="123"/>
      <c r="B25" s="123"/>
      <c r="C25" s="123"/>
      <c r="D25" s="123"/>
    </row>
    <row r="26" spans="1:7" ht="15.75" x14ac:dyDescent="0.25">
      <c r="A26" s="123"/>
      <c r="B26" s="123"/>
      <c r="C26" s="138" t="s">
        <v>63</v>
      </c>
      <c r="D26" s="141">
        <v>620</v>
      </c>
    </row>
    <row r="27" spans="1:7" ht="15.75" x14ac:dyDescent="0.25">
      <c r="A27" s="123"/>
      <c r="B27" s="123"/>
      <c r="C27" s="123"/>
      <c r="D27" s="123"/>
    </row>
    <row r="28" spans="1:7" ht="15.75" x14ac:dyDescent="0.25">
      <c r="A28" s="123"/>
      <c r="B28" s="123"/>
      <c r="C28" s="138" t="s">
        <v>31</v>
      </c>
      <c r="D28" s="142">
        <f>D24/D26</f>
        <v>0.19001397849462365</v>
      </c>
      <c r="E28" s="143" t="s">
        <v>68</v>
      </c>
      <c r="F28" s="143"/>
      <c r="G28" s="1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COSTEO BENJA DIC2022</vt:lpstr>
      <vt:lpstr>COSTEO VINO GRANEL</vt:lpstr>
      <vt:lpstr>COSTEO BENJA - DANTE ROBINO</vt:lpstr>
      <vt:lpstr>CMV ON PREMISE</vt:lpstr>
      <vt:lpstr>'COSTEO VINO GRANEL'!Área_de_impresión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Bruno</dc:creator>
  <cp:lastModifiedBy>SupplyDestileria</cp:lastModifiedBy>
  <cp:lastPrinted>2022-07-12T16:08:36Z</cp:lastPrinted>
  <dcterms:created xsi:type="dcterms:W3CDTF">2021-12-14T21:19:15Z</dcterms:created>
  <dcterms:modified xsi:type="dcterms:W3CDTF">2022-12-30T16:14:56Z</dcterms:modified>
</cp:coreProperties>
</file>